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lacoste-my.sharepoint.com/personal/ralmeida_lacoste_com/Documents/Desktop/Escala 5x2/"/>
    </mc:Choice>
  </mc:AlternateContent>
  <xr:revisionPtr revIDLastSave="0" documentId="8_{A56EF351-6D48-410B-8E21-5E839FF4ACE9}" xr6:coauthVersionLast="47" xr6:coauthVersionMax="47" xr10:uidLastSave="{00000000-0000-0000-0000-000000000000}"/>
  <bookViews>
    <workbookView xWindow="-110" yWindow="-110" windowWidth="19420" windowHeight="11500" firstSheet="2" activeTab="1" xr2:uid="{00000000-000D-0000-FFFF-FFFF00000000}"/>
  </bookViews>
  <sheets>
    <sheet name="Resumo executivo" sheetId="3" r:id="rId1"/>
    <sheet name="Simulador por loja" sheetId="1" r:id="rId2"/>
    <sheet name="Premissas" sheetId="2" r:id="rId3"/>
    <sheet name="Jornadas por loja" sheetId="4" r:id="rId4"/>
    <sheet name="Ativos" sheetId="6" r:id="rId5"/>
  </sheets>
  <definedNames>
    <definedName name="_xlnm._FilterDatabase" localSheetId="4" hidden="1">Ativos!$A$1:$E$278</definedName>
    <definedName name="_xlnm._FilterDatabase" localSheetId="3" hidden="1">'Jornadas por loja'!$A$1:$H$151</definedName>
    <definedName name="_xlnm._FilterDatabase" localSheetId="1" hidden="1">'Simulador por loja'!$A$1:$AC$32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1" l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3" i="1"/>
  <c r="O2" i="1"/>
  <c r="Y26" i="1"/>
  <c r="F32" i="1"/>
  <c r="Y5" i="1" l="1"/>
  <c r="B6" i="3"/>
  <c r="B5" i="3"/>
  <c r="B4" i="3"/>
  <c r="D32" i="1"/>
  <c r="C32" i="1"/>
  <c r="Y31" i="1"/>
  <c r="V31" i="1"/>
  <c r="Y30" i="1"/>
  <c r="V30" i="1"/>
  <c r="Y29" i="1"/>
  <c r="V29" i="1"/>
  <c r="Y28" i="1"/>
  <c r="V28" i="1"/>
  <c r="Y27" i="1"/>
  <c r="V27" i="1"/>
  <c r="V26" i="1"/>
  <c r="Y25" i="1"/>
  <c r="V25" i="1"/>
  <c r="Y24" i="1"/>
  <c r="V24" i="1"/>
  <c r="Y23" i="1"/>
  <c r="V23" i="1"/>
  <c r="Y22" i="1"/>
  <c r="V22" i="1"/>
  <c r="Y21" i="1"/>
  <c r="V21" i="1"/>
  <c r="Y20" i="1"/>
  <c r="V20" i="1"/>
  <c r="Y19" i="1"/>
  <c r="V19" i="1"/>
  <c r="Y18" i="1"/>
  <c r="V18" i="1"/>
  <c r="Y17" i="1"/>
  <c r="V17" i="1"/>
  <c r="Q17" i="1"/>
  <c r="T17" i="1" s="1"/>
  <c r="U17" i="1" s="1"/>
  <c r="Y16" i="1"/>
  <c r="V16" i="1"/>
  <c r="Y15" i="1"/>
  <c r="V15" i="1"/>
  <c r="Y14" i="1"/>
  <c r="V14" i="1"/>
  <c r="Q14" i="1"/>
  <c r="T14" i="1" s="1"/>
  <c r="U14" i="1" s="1"/>
  <c r="Y13" i="1"/>
  <c r="V13" i="1"/>
  <c r="Y12" i="1"/>
  <c r="V12" i="1"/>
  <c r="Y11" i="1"/>
  <c r="V11" i="1"/>
  <c r="Y10" i="1"/>
  <c r="V10" i="1"/>
  <c r="Y9" i="1"/>
  <c r="V9" i="1"/>
  <c r="Y8" i="1"/>
  <c r="V8" i="1"/>
  <c r="Y7" i="1"/>
  <c r="V7" i="1"/>
  <c r="Q7" i="1"/>
  <c r="T7" i="1" s="1"/>
  <c r="U7" i="1" s="1"/>
  <c r="Y6" i="1"/>
  <c r="V6" i="1"/>
  <c r="V5" i="1"/>
  <c r="Y4" i="1"/>
  <c r="V4" i="1"/>
  <c r="Y3" i="1"/>
  <c r="V3" i="1"/>
  <c r="Y2" i="1"/>
  <c r="V2" i="1"/>
  <c r="Q2" i="1"/>
  <c r="T2" i="1" s="1"/>
  <c r="U2" i="1" s="1"/>
  <c r="W2" i="1" l="1"/>
  <c r="Q25" i="1"/>
  <c r="T25" i="1" s="1"/>
  <c r="U25" i="1" s="1"/>
  <c r="W25" i="1" s="1"/>
  <c r="Z25" i="1" s="1"/>
  <c r="Q19" i="1"/>
  <c r="T19" i="1" s="1"/>
  <c r="U19" i="1" s="1"/>
  <c r="W19" i="1" s="1"/>
  <c r="Z19" i="1" s="1"/>
  <c r="Q4" i="1"/>
  <c r="T4" i="1" s="1"/>
  <c r="U4" i="1" s="1"/>
  <c r="W4" i="1" s="1"/>
  <c r="Z4" i="1" s="1"/>
  <c r="Q26" i="1"/>
  <c r="T26" i="1" s="1"/>
  <c r="U26" i="1" s="1"/>
  <c r="W26" i="1" s="1"/>
  <c r="X26" i="1" s="1"/>
  <c r="Q5" i="1"/>
  <c r="T5" i="1" s="1"/>
  <c r="U5" i="1" s="1"/>
  <c r="W5" i="1" s="1"/>
  <c r="X5" i="1" s="1"/>
  <c r="Q23" i="1"/>
  <c r="T23" i="1" s="1"/>
  <c r="U23" i="1" s="1"/>
  <c r="W23" i="1" s="1"/>
  <c r="Z23" i="1" s="1"/>
  <c r="Q13" i="1"/>
  <c r="T13" i="1" s="1"/>
  <c r="U13" i="1" s="1"/>
  <c r="W13" i="1" s="1"/>
  <c r="Z13" i="1" s="1"/>
  <c r="Q27" i="1"/>
  <c r="T27" i="1" s="1"/>
  <c r="U27" i="1" s="1"/>
  <c r="W27" i="1" s="1"/>
  <c r="X27" i="1" s="1"/>
  <c r="W7" i="1"/>
  <c r="X7" i="1" s="1"/>
  <c r="W14" i="1"/>
  <c r="Z14" i="1" s="1"/>
  <c r="Q10" i="1"/>
  <c r="T10" i="1" s="1"/>
  <c r="U10" i="1" s="1"/>
  <c r="W10" i="1" s="1"/>
  <c r="X10" i="1" s="1"/>
  <c r="Q15" i="1"/>
  <c r="T15" i="1" s="1"/>
  <c r="U15" i="1" s="1"/>
  <c r="W15" i="1" s="1"/>
  <c r="Z15" i="1" s="1"/>
  <c r="Q24" i="1"/>
  <c r="T24" i="1" s="1"/>
  <c r="U24" i="1" s="1"/>
  <c r="W24" i="1" s="1"/>
  <c r="X24" i="1" s="1"/>
  <c r="Q16" i="1"/>
  <c r="T16" i="1" s="1"/>
  <c r="U16" i="1" s="1"/>
  <c r="W16" i="1" s="1"/>
  <c r="X16" i="1" s="1"/>
  <c r="Q30" i="1"/>
  <c r="T30" i="1" s="1"/>
  <c r="U30" i="1" s="1"/>
  <c r="W30" i="1" s="1"/>
  <c r="X30" i="1" s="1"/>
  <c r="Q31" i="1"/>
  <c r="T31" i="1" s="1"/>
  <c r="U31" i="1" s="1"/>
  <c r="W31" i="1" s="1"/>
  <c r="X31" i="1" s="1"/>
  <c r="Q21" i="1"/>
  <c r="T21" i="1" s="1"/>
  <c r="U21" i="1" s="1"/>
  <c r="W21" i="1" s="1"/>
  <c r="Z21" i="1" s="1"/>
  <c r="Q11" i="1"/>
  <c r="T11" i="1" s="1"/>
  <c r="U11" i="1" s="1"/>
  <c r="W11" i="1" s="1"/>
  <c r="Z11" i="1" s="1"/>
  <c r="Q18" i="1"/>
  <c r="T18" i="1" s="1"/>
  <c r="U18" i="1" s="1"/>
  <c r="W18" i="1" s="1"/>
  <c r="Q8" i="1"/>
  <c r="T8" i="1" s="1"/>
  <c r="U8" i="1" s="1"/>
  <c r="W8" i="1" s="1"/>
  <c r="X8" i="1" s="1"/>
  <c r="Q28" i="1"/>
  <c r="T28" i="1" s="1"/>
  <c r="U28" i="1" s="1"/>
  <c r="W28" i="1" s="1"/>
  <c r="X28" i="1" s="1"/>
  <c r="Q22" i="1"/>
  <c r="T22" i="1" s="1"/>
  <c r="U22" i="1" s="1"/>
  <c r="W22" i="1" s="1"/>
  <c r="Z22" i="1" s="1"/>
  <c r="Q12" i="1"/>
  <c r="T12" i="1" s="1"/>
  <c r="U12" i="1" s="1"/>
  <c r="W12" i="1" s="1"/>
  <c r="X12" i="1" s="1"/>
  <c r="Q29" i="1"/>
  <c r="T29" i="1" s="1"/>
  <c r="U29" i="1" s="1"/>
  <c r="W29" i="1" s="1"/>
  <c r="Z29" i="1" s="1"/>
  <c r="Q9" i="1"/>
  <c r="T9" i="1" s="1"/>
  <c r="U9" i="1" s="1"/>
  <c r="W9" i="1" s="1"/>
  <c r="Z9" i="1" s="1"/>
  <c r="Q6" i="1"/>
  <c r="T6" i="1" s="1"/>
  <c r="U6" i="1" s="1"/>
  <c r="W6" i="1" s="1"/>
  <c r="Q3" i="1"/>
  <c r="T3" i="1" s="1"/>
  <c r="U3" i="1" s="1"/>
  <c r="W3" i="1" s="1"/>
  <c r="X3" i="1" s="1"/>
  <c r="Q20" i="1"/>
  <c r="T20" i="1" s="1"/>
  <c r="U20" i="1" s="1"/>
  <c r="W20" i="1" s="1"/>
  <c r="Z20" i="1" s="1"/>
  <c r="W17" i="1"/>
  <c r="X17" i="1" s="1"/>
  <c r="Z7" i="1" l="1"/>
  <c r="X2" i="1"/>
  <c r="Z2" i="1"/>
  <c r="X20" i="1"/>
  <c r="X23" i="1"/>
  <c r="X25" i="1"/>
  <c r="X22" i="1"/>
  <c r="X18" i="1"/>
  <c r="Z18" i="1"/>
  <c r="Z10" i="1"/>
  <c r="Z30" i="1"/>
  <c r="Z5" i="1"/>
  <c r="X14" i="1"/>
  <c r="Z24" i="1"/>
  <c r="Z12" i="1"/>
  <c r="X6" i="1"/>
  <c r="Z6" i="1"/>
  <c r="X29" i="1"/>
  <c r="Z17" i="1"/>
  <c r="Z27" i="1"/>
  <c r="Z31" i="1"/>
  <c r="X21" i="1"/>
  <c r="X11" i="1"/>
  <c r="X4" i="1"/>
  <c r="Z8" i="1"/>
  <c r="Z28" i="1"/>
  <c r="X19" i="1"/>
  <c r="Z26" i="1"/>
  <c r="X15" i="1"/>
  <c r="X13" i="1"/>
  <c r="Z3" i="1"/>
  <c r="X9" i="1"/>
  <c r="B7" i="3"/>
  <c r="Z16" i="1"/>
  <c r="W32" i="1"/>
  <c r="X32" i="1" l="1"/>
  <c r="B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6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1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0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4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5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6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29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3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  <comment ref="N3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Edite conforme a quantidade de turnos/unidades de cobertura simultâneas que precisam cumprir os mínimos informados.</t>
        </r>
      </text>
    </comment>
  </commentList>
</comments>
</file>

<file path=xl/sharedStrings.xml><?xml version="1.0" encoding="utf-8"?>
<sst xmlns="http://schemas.openxmlformats.org/spreadsheetml/2006/main" count="2893" uniqueCount="522">
  <si>
    <t>RESUMO EXECUTIVO — SIMULADOR 5x2</t>
  </si>
  <si>
    <t>Indicador</t>
  </si>
  <si>
    <t>Valor</t>
  </si>
  <si>
    <t>Leitura</t>
  </si>
  <si>
    <t>HC atual (base enviada)</t>
  </si>
  <si>
    <t>Soma das lojas listadas; comparar com consolidado corporativo de 292.</t>
  </si>
  <si>
    <t>Lideranças preenchidas</t>
  </si>
  <si>
    <t>Há lojas sem informação de liderança; preencher para confirmar o total.</t>
  </si>
  <si>
    <t>Vendas médias mensais</t>
  </si>
  <si>
    <t>Base informada como média mensal de jan–set/2026.</t>
  </si>
  <si>
    <t>HC recomendado estimado</t>
  </si>
  <si>
    <t>Estimativa sujeita ao campo de unidades de cobertura simultâneas e validação por horário.</t>
  </si>
  <si>
    <t>Diferença estimada vs HC atual</t>
  </si>
  <si>
    <t>Não interpretar como plano de contratação antes de validar turnos, líderes e jornadas.</t>
  </si>
  <si>
    <t>Decisões para a reunião</t>
  </si>
  <si>
    <t>1. Validar a premissa de jornada semanal de 42 horas e os instrumentos legais/coletivos aplicáveis.</t>
  </si>
  <si>
    <t>2. Confirmar a cobertura mínima de 3 pessoas em dias de baixo fluxo e 5 aos finais de semana por turno.</t>
  </si>
  <si>
    <t>3. Preencher unidades de cobertura simultâneas e líderes reais por loja; não reduzir HC apenas por média de faturamento.</t>
  </si>
  <si>
    <t>4. Simular escala diária, pausas e folgas; garantir liderança presente todos os dias.</t>
  </si>
  <si>
    <t>5. Rodar piloto em lojas de HC enxuto e medir vendas/hora, conversão, atendimento, absenteísmo e horas extras.</t>
  </si>
  <si>
    <t>Canal</t>
  </si>
  <si>
    <t>Loja</t>
  </si>
  <si>
    <t>HC atual</t>
  </si>
  <si>
    <t>Líderes</t>
  </si>
  <si>
    <t>Vendas médias mensais (R$) | Jan-Set</t>
  </si>
  <si>
    <t>Metragem ²</t>
  </si>
  <si>
    <t>Média fluxo</t>
  </si>
  <si>
    <t>Abertura</t>
  </si>
  <si>
    <t>Fechamento</t>
  </si>
  <si>
    <t>Jornada Diária Sugerida</t>
  </si>
  <si>
    <t>Jornada de abertura sugerida</t>
  </si>
  <si>
    <t>Jornada de fechamento sugerida</t>
  </si>
  <si>
    <t>Unidades de cobertura simultâneas (input)</t>
  </si>
  <si>
    <t>Pessoas/turno seg-sex</t>
  </si>
  <si>
    <t>Pessoas/turno sáb-dom</t>
  </si>
  <si>
    <t>Pessoa-dias/semana por unidade</t>
  </si>
  <si>
    <t>Composição seg-sex (abertura / fechamento)</t>
  </si>
  <si>
    <t>Composição sáb-dom (abertura / fechamento)</t>
  </si>
  <si>
    <t>HC operacional teórico</t>
  </si>
  <si>
    <t>HC operacional c/reserva</t>
  </si>
  <si>
    <t>Liderança mínima sugerida</t>
  </si>
  <si>
    <t>Diferença vs HC atual</t>
  </si>
  <si>
    <t>Vendas por HC atual (R$)</t>
  </si>
  <si>
    <t>Vendas por HC recomendado (R$)</t>
  </si>
  <si>
    <t>Recomendação de liderança</t>
  </si>
  <si>
    <t>3º turno sugerido?</t>
  </si>
  <si>
    <t>Observações / validações</t>
  </si>
  <si>
    <t>Boutique</t>
  </si>
  <si>
    <t>Barra Shopping</t>
  </si>
  <si>
    <t>09:40</t>
  </si>
  <si>
    <t>22:14</t>
  </si>
  <si>
    <t>8:24 com 1h de intervalo</t>
  </si>
  <si>
    <t>09:40–19:04</t>
  </si>
  <si>
    <t>12:50–22:14</t>
  </si>
  <si>
    <t>1 VR + 2 vendedores / 1 gerente + 2 vendedores</t>
  </si>
  <si>
    <t>1 líder + 4 vendedores / 1 líder + 4 vendedores</t>
  </si>
  <si>
    <t>Se líderes atuais &lt;3: converter vaga de vendedor em subgerente; reserva recomendada também com perfil de liderança.</t>
  </si>
  <si>
    <t>Avaliar reforço móvel em pico</t>
  </si>
  <si>
    <t>Turno de abertura: 1 subgerente + 2 vendedores (seg-sex); fechamento idem. Fim de semana: 1 subgerente + 4 vendedores por turno. Reserva: 1 subgerente + 1 vendedor. Validar fluxo real, intervalos e CCT.</t>
  </si>
  <si>
    <t>BH Shop</t>
  </si>
  <si>
    <t>09:40–18:24</t>
  </si>
  <si>
    <t>Cidade Jardim</t>
  </si>
  <si>
    <t>22:04</t>
  </si>
  <si>
    <t>12:40–22:04</t>
  </si>
  <si>
    <t>Higienópolis</t>
  </si>
  <si>
    <t>Iguatemi</t>
  </si>
  <si>
    <t>22:20</t>
  </si>
  <si>
    <t>12:56–22:20</t>
  </si>
  <si>
    <t>Iguatemi Campinas</t>
  </si>
  <si>
    <t>JK Live</t>
  </si>
  <si>
    <t>Leblon</t>
  </si>
  <si>
    <t>10:00</t>
  </si>
  <si>
    <t>22:00</t>
  </si>
  <si>
    <t>10:00–19:24</t>
  </si>
  <si>
    <t>12:36–22:00</t>
  </si>
  <si>
    <t>Matalab</t>
  </si>
  <si>
    <t>11:00</t>
  </si>
  <si>
    <t>21:00</t>
  </si>
  <si>
    <t>11:00–20:24</t>
  </si>
  <si>
    <t>11:36–21:00</t>
  </si>
  <si>
    <t>Não fixar sem dado de fluxo</t>
  </si>
  <si>
    <t>Morumbi</t>
  </si>
  <si>
    <t>ParkShopping Brasília</t>
  </si>
  <si>
    <t>22:10</t>
  </si>
  <si>
    <t>12:46–22:10</t>
  </si>
  <si>
    <t>Outlet</t>
  </si>
  <si>
    <t>Aricanduva</t>
  </si>
  <si>
    <t>1 subgerente + 2 vendedores / 1 gerente + 2 vendedores</t>
  </si>
  <si>
    <t>1 subgerente + 4 vendedores / 1 gerente + 4 vendedores</t>
  </si>
  <si>
    <t>A. Senna</t>
  </si>
  <si>
    <t>09:00</t>
  </si>
  <si>
    <t>09:00–18:24</t>
  </si>
  <si>
    <t>Outlet Brasília</t>
  </si>
  <si>
    <t>Outlet Butantã</t>
  </si>
  <si>
    <t>Outlet Catarina</t>
  </si>
  <si>
    <t>Outlet Curitiba</t>
  </si>
  <si>
    <t>Outlet Contagem</t>
  </si>
  <si>
    <t>21:20</t>
  </si>
  <si>
    <t>11:56–21:20</t>
  </si>
  <si>
    <t>Outlet Fortaleza</t>
  </si>
  <si>
    <t>Outlet Imigrantes</t>
  </si>
  <si>
    <t>Outlet Moema</t>
  </si>
  <si>
    <t>20:36</t>
  </si>
  <si>
    <t>11:12–20:36</t>
  </si>
  <si>
    <t>Outlet Novo Hamburgo</t>
  </si>
  <si>
    <t>Outlet Pop-up BH</t>
  </si>
  <si>
    <t>Outlet Pop-up Santa Maria</t>
  </si>
  <si>
    <t>Outlet Porto Belo</t>
  </si>
  <si>
    <t>09:50</t>
  </si>
  <si>
    <t>09:50–19:14</t>
  </si>
  <si>
    <t>Outlet Premium</t>
  </si>
  <si>
    <t>Outlet Premium RJ</t>
  </si>
  <si>
    <t>Outlet Recife</t>
  </si>
  <si>
    <t>Outlet Salvador</t>
  </si>
  <si>
    <t>Outlet Shopping Light</t>
  </si>
  <si>
    <t>TOTAL / CONSOLIDADO</t>
  </si>
  <si>
    <t>—</t>
  </si>
  <si>
    <t>SIMULADOR DE HC — MIGRAÇÃO PARA ESCALA 5x2</t>
  </si>
  <si>
    <t>Premissa</t>
  </si>
  <si>
    <t>Orientação</t>
  </si>
  <si>
    <t>Jornada semanal (h)</t>
  </si>
  <si>
    <t>Editável; jornada proposta informada para este cenário.</t>
  </si>
  <si>
    <t>Dias trabalhados por pessoa/semana</t>
  </si>
  <si>
    <t>Escala 5x2.</t>
  </si>
  <si>
    <t>BTQ Cobertura baixa por turno (pessoas presentes)</t>
  </si>
  <si>
    <t>Inclui liderança somente quando disponível para atendimento.</t>
  </si>
  <si>
    <t>OTL Cobertura baixa por turno (pessoas presentes)</t>
  </si>
  <si>
    <t>BTQ Cobertura fim de semana por turno (pessoas presentes)</t>
  </si>
  <si>
    <t>Aplicada a sábado e domingo.</t>
  </si>
  <si>
    <t>OTL Cobertura fim de semana por turno (pessoas presentes)</t>
  </si>
  <si>
    <t>Reserva para férias/ausências</t>
  </si>
  <si>
    <t>Hipótese inicial editável; substituir pela taxa histórica de RH.</t>
  </si>
  <si>
    <t>Lideranças mínimas por loja</t>
  </si>
  <si>
    <t>Premissa de planejamento para cobrir os 7 dias com revezamento.</t>
  </si>
  <si>
    <t>Dias de baixo fluxo por semana</t>
  </si>
  <si>
    <t>Modelo inicial: segunda a sexta; ajustar ao calendário real de fluxo.</t>
  </si>
  <si>
    <t>Dias de fim de semana por semana</t>
  </si>
  <si>
    <t>Modelo inicial: sábado e domingo.</t>
  </si>
  <si>
    <t>Horas líquidas médias por turno/dia</t>
  </si>
  <si>
    <t>Informativo: recalcular jornadas a partir da abertura/fechamento e intervalos.</t>
  </si>
  <si>
    <t>Nota metodológica</t>
  </si>
  <si>
    <t>O simulador calcula uma estimativa agregada por loja e por unidade de cobertura/turno. A quantidade de turnos simultâneos e a distribuição real de pessoas por horário não constavam na base enviada; por isso, o campo 'Unidades de cobertura simultâneas' é editável e começa em 1. Ajuste-o conforme a necessidade real por loja.</t>
  </si>
  <si>
    <t>criar acelerador de vendas (comissão, premiação dif por nível de vendedor)</t>
  </si>
  <si>
    <t>turno intermediário</t>
  </si>
  <si>
    <t>consultoria de engajamento x pessoas felizes vendam mais</t>
  </si>
  <si>
    <t>Gi falar com shoppings sobre jornada de abertura de lojas</t>
  </si>
  <si>
    <t>lei e valor da multa por descumprir a regra</t>
  </si>
  <si>
    <t>não contratar tem custo, perco receita, pago multa ao shopping</t>
  </si>
  <si>
    <t>Dia / cenário</t>
  </si>
  <si>
    <t>Turno</t>
  </si>
  <si>
    <t>Horário sugerido</t>
  </si>
  <si>
    <t>Mínimo de pessoas no turno</t>
  </si>
  <si>
    <t>Composição mínima</t>
  </si>
  <si>
    <t>Objetivo / regra</t>
  </si>
  <si>
    <t>Segunda a sexta</t>
  </si>
  <si>
    <t>1 subgerente + 2 vendedores</t>
  </si>
  <si>
    <t>A pessoa líder inicia junto à abertura; intervalo escalonado para manter cobertura.</t>
  </si>
  <si>
    <t>A pessoa líder permanece até o fechamento; intervalo escalonado para manter cobertura.</t>
  </si>
  <si>
    <t>Sábado e domingo</t>
  </si>
  <si>
    <t>1 subgerente + 4 vendedores</t>
  </si>
  <si>
    <t>Pico / dias definidos</t>
  </si>
  <si>
    <t>3º turno opcional</t>
  </si>
  <si>
    <t>1 vendedor multifuncional</t>
  </si>
  <si>
    <t>Reforço opcional de pico; não incluído no HC-base. Ajustar ao fluxo por hora e ao limite semanal.</t>
  </si>
  <si>
    <t>12:00–21:24</t>
  </si>
  <si>
    <t>13:00–22:00</t>
  </si>
  <si>
    <t>A definir por dados de fluxo</t>
  </si>
  <si>
    <t>Não criar terceiro turno fixo antes de comprovar pico; redistribuir horários existentes.</t>
  </si>
  <si>
    <t>12:00–21:00</t>
  </si>
  <si>
    <t>12:00–21:20</t>
  </si>
  <si>
    <t>13:00–22:20</t>
  </si>
  <si>
    <t>12:50–22:10</t>
  </si>
  <si>
    <t>Empresa</t>
  </si>
  <si>
    <t>Centro de Custo</t>
  </si>
  <si>
    <t>Funcionário</t>
  </si>
  <si>
    <t>Cargo</t>
  </si>
  <si>
    <t>033 - OUTLET IMIGRANTES</t>
  </si>
  <si>
    <t>OUTLET IMIGRANTES - 109035</t>
  </si>
  <si>
    <t>ABNER HENRIQUE DOS ANJOS PEREIRA</t>
  </si>
  <si>
    <t>CONSULTOR (A) DE LOJA</t>
  </si>
  <si>
    <t>023 - OUTLET AYRTON SENNA</t>
  </si>
  <si>
    <t>OUTLET AYRTON SENNA - 109024</t>
  </si>
  <si>
    <t>ADRIANA APARECIDA GOMES</t>
  </si>
  <si>
    <t>004 - OUTLET PREMIUM ITUPEVA</t>
  </si>
  <si>
    <t>OUTLET PREMMIUN ITUPEVA - 109005</t>
  </si>
  <si>
    <t>ADRIANO GUILHERME RODRIGUES DA SILVA MELO</t>
  </si>
  <si>
    <t>006 - OUTLET MOEMA</t>
  </si>
  <si>
    <t>OUTLET MOEMA - 109007</t>
  </si>
  <si>
    <t>ALCIDES HERBERTO MARTINI</t>
  </si>
  <si>
    <t>GERENTE DE LOJA</t>
  </si>
  <si>
    <t>ALESSANDRO SOARES SILVA</t>
  </si>
  <si>
    <t>015 - OUTLET FORTALEZA</t>
  </si>
  <si>
    <t>OUTLET FORTALEZA - 109016</t>
  </si>
  <si>
    <t>ALINE MACIEL DE SOUZA</t>
  </si>
  <si>
    <t>AUXILIAR DE VENDAS</t>
  </si>
  <si>
    <t>016 - OUTLET CATARINA</t>
  </si>
  <si>
    <t>OUTLET CATARINA - 109017</t>
  </si>
  <si>
    <t>ALINE QUITÉRIA DA SILVA</t>
  </si>
  <si>
    <t>AMANDA DA SILVA RAMOS</t>
  </si>
  <si>
    <t>025 - BOUTIQUE BH SHOPPING</t>
  </si>
  <si>
    <t>BOUTIQUE BH SHOPPING - 109027</t>
  </si>
  <si>
    <t>AMANDA FERREIRA BELIZARIO</t>
  </si>
  <si>
    <t>ESTOQUISTA</t>
  </si>
  <si>
    <t>024 - BOUTIQUE PARK SHOP BRASILIA</t>
  </si>
  <si>
    <t>BOUTIQUE PARK SHOPPING BRASILIA - 109026</t>
  </si>
  <si>
    <t>AMANDA LIMA DE OLIVEIRA</t>
  </si>
  <si>
    <t>008 - OUTLET BRASILIA</t>
  </si>
  <si>
    <t>OUTLET BRASILIA - 109009</t>
  </si>
  <si>
    <t>ANA CRISTINA PEREIRA PAZ FERREIRA</t>
  </si>
  <si>
    <t>CAIXA DE LOJA</t>
  </si>
  <si>
    <t>ANA KAROLINE VIANA MESQUITA</t>
  </si>
  <si>
    <t>VENDEDOR (A)</t>
  </si>
  <si>
    <t>012 - OUTLET SALVADOR</t>
  </si>
  <si>
    <t>OUTLET SALVADOR - 109013</t>
  </si>
  <si>
    <t>ANA PAULA DA SILVA</t>
  </si>
  <si>
    <t>ANA PAULA NASCIMENTO SOUZA</t>
  </si>
  <si>
    <t>011 - OUTLET SHOPPING LIGHT</t>
  </si>
  <si>
    <t>OUTLET SHOPPING LIGHT - 109012</t>
  </si>
  <si>
    <t>ANA PAULA SILVA</t>
  </si>
  <si>
    <t>020 - BOUTIQUE MORUMBI</t>
  </si>
  <si>
    <t>BOUTIQUE MORUMBI - 109021</t>
  </si>
  <si>
    <t>ANA PAULA VIEIRA DO PRADO</t>
  </si>
  <si>
    <t>014 - BOUTIQUE IGUATEMI</t>
  </si>
  <si>
    <t>BOUTIQUE IGUATEMI - 109015</t>
  </si>
  <si>
    <t>ANDERSON DA SILVA SALGADO</t>
  </si>
  <si>
    <t>ANDERSON LUIZ DE SOUZA FERREIRA</t>
  </si>
  <si>
    <t>ANDERSON RESENDE GONZATTO</t>
  </si>
  <si>
    <t>ANDRESSA RAMOS MOUTA</t>
  </si>
  <si>
    <t>019 - OUTLET TIJUCAS</t>
  </si>
  <si>
    <t>OUTLET PORTO BELO - 109020</t>
  </si>
  <si>
    <t>ANNA CLARA SOARES DOS SANTOS</t>
  </si>
  <si>
    <t>ANTONIO AUGUSTO DE SOUSA</t>
  </si>
  <si>
    <t>BIANCA DA CONCEIÇÃO SANTOS</t>
  </si>
  <si>
    <t>VENDEDOR (A) RESPONSAVEL</t>
  </si>
  <si>
    <t>036 - OUTLET SANTA MARIA</t>
  </si>
  <si>
    <t>OUTLET POP UP SANTA MARIA - 109038</t>
  </si>
  <si>
    <t>BRENA BIANCA COSTA SOUZA</t>
  </si>
  <si>
    <t>BRENO FERREIRA GONÇALVES</t>
  </si>
  <si>
    <t>009 - BOUTIQUE JK</t>
  </si>
  <si>
    <t>BOUTIQUE JK  - 109010</t>
  </si>
  <si>
    <t>BRUNA ALVES SANTOS DA SILVA</t>
  </si>
  <si>
    <t>BRUNA LOPES GALVAO</t>
  </si>
  <si>
    <t>021 - BOUTIQUE BARRA</t>
  </si>
  <si>
    <t>BOUTIQUE BARRA SHOPPING - 109022</t>
  </si>
  <si>
    <t>BRUNO GUIMARAES CAETANO</t>
  </si>
  <si>
    <t>026 - BOUTIQUE LEBLON RJ</t>
  </si>
  <si>
    <t>BOUTIQUE LEBLON SHOPPING - 109028</t>
  </si>
  <si>
    <t>BRUNO SOARES DE OLIVEIRA</t>
  </si>
  <si>
    <t>007 - OUTLET CONTAGEM</t>
  </si>
  <si>
    <t>OUTLET CONTAGEM - 109008</t>
  </si>
  <si>
    <t>CAIO CESAR CAETANO PACHECO</t>
  </si>
  <si>
    <t>CALIEL RAVAGNANI ESQUETINI</t>
  </si>
  <si>
    <t>CAMILA GONZAGA DE SOUSA</t>
  </si>
  <si>
    <t>CAMILA MARIA SANTANA DA COSTA</t>
  </si>
  <si>
    <t>CAMILA SANTOS DE JESUS</t>
  </si>
  <si>
    <t>034 - OUTLET BH</t>
  </si>
  <si>
    <t>OUTLET POP UP BH - 109036</t>
  </si>
  <si>
    <t>CAMILA SOUSA DA SILVA</t>
  </si>
  <si>
    <t>CAMILLA SILVA TEIXEIRA</t>
  </si>
  <si>
    <t>027 - BOUTIQUE IGUATEMI CAMPINAS</t>
  </si>
  <si>
    <t>BOUTIQUE IGUATEMI CAMPINAS - 109029</t>
  </si>
  <si>
    <t>CARLA MAJOR CARVALHAES CAMARGO</t>
  </si>
  <si>
    <t>CARLOS EDUARDO DA ROCHA AMARAL</t>
  </si>
  <si>
    <t>CARLOS EDUARDO GUEDES</t>
  </si>
  <si>
    <t>018 - OUTLET NOVO HAMBURGO</t>
  </si>
  <si>
    <t>OUTLET NOVO HAMBURGO - 109019</t>
  </si>
  <si>
    <t>CARLOS EDUARDO ROSA DA SILVA</t>
  </si>
  <si>
    <t>CARLOS HENRIQUE CRISCENTE</t>
  </si>
  <si>
    <t>CAROLINE PAULELI SILVA</t>
  </si>
  <si>
    <t>CAROLINE SILVA DIAS</t>
  </si>
  <si>
    <t>CHRISTIAN DOS SANTOS LEAL</t>
  </si>
  <si>
    <t>CLAUDIA ALINE ROSA</t>
  </si>
  <si>
    <t>037 – BOUTIQUE CIDADE JARDIM</t>
  </si>
  <si>
    <t>BOUTIQUE CIDADE JARDIM - 109039</t>
  </si>
  <si>
    <t>CLEIDE TEREZINHA RODRIGUES DOS SANTOS</t>
  </si>
  <si>
    <t>CRISTAL MACHADO</t>
  </si>
  <si>
    <t>DAIANA PRISCILLA CAMPOVILLA</t>
  </si>
  <si>
    <t>DALILA CRISTIANA RODRIGUES DE JESUS</t>
  </si>
  <si>
    <t>DANIEL DE SOUZA SANTOS</t>
  </si>
  <si>
    <t>SUB GERENTE</t>
  </si>
  <si>
    <t>028 - BOUTIQUE HIGIENOPOLIS</t>
  </si>
  <si>
    <t>BOUTIQUE HIGIENOPOLIS - 109030</t>
  </si>
  <si>
    <t>DANIEL SANTOS DE BRITO</t>
  </si>
  <si>
    <t>DANIEL SANTOS DE OLIVEIRA</t>
  </si>
  <si>
    <t>038 – OUTLET ARICANDUVA</t>
  </si>
  <si>
    <t>OUTLET ARICANDUVA - 109040</t>
  </si>
  <si>
    <t>DANIELA PEREIRA DE MOURA</t>
  </si>
  <si>
    <t>DANIELE BITENCOURT DOS SANTOS ANDRADE</t>
  </si>
  <si>
    <t>DANILO ARAUJO SILVA</t>
  </si>
  <si>
    <t>DAVI ROCHA VALENTE FRANCICA</t>
  </si>
  <si>
    <t>DAYANE LAIS LUCAS</t>
  </si>
  <si>
    <t>DEBORA DE JESUS MARTINS IZIDORO</t>
  </si>
  <si>
    <t>039 - BOUTIQUE MATALAB</t>
  </si>
  <si>
    <t>BOUTIQUE MATALAB - 109043</t>
  </si>
  <si>
    <t>DELEON SOUZA MIRANDA</t>
  </si>
  <si>
    <t>DIEGO MOREIRA FERREIRA TORRES DOS SANTOS</t>
  </si>
  <si>
    <t>DOUGLAS PEREIRA DO PRADO</t>
  </si>
  <si>
    <t>005 - OUTLET BUTANTA</t>
  </si>
  <si>
    <t>OUTLET BUTANTÃ - 109006</t>
  </si>
  <si>
    <t>EDUARDO DOS SANTOS DOMINGUES JUNIOR</t>
  </si>
  <si>
    <t>EDUARDO JHONATAN DE BRITO</t>
  </si>
  <si>
    <t>ELAINE GONCALVES DE OLIVEIRA</t>
  </si>
  <si>
    <t>029 - OUTLET CURITIBA</t>
  </si>
  <si>
    <t>OUTLET CITY CENTER CURITIBA - 109031</t>
  </si>
  <si>
    <t>ELIAS SOARES CARVALHO</t>
  </si>
  <si>
    <t>ELISANGELA BARBOSA DA SILVA</t>
  </si>
  <si>
    <t>ELISANGELA LUIZA DE OLIVEIRA</t>
  </si>
  <si>
    <t>031 - OUTLET RECIFE</t>
  </si>
  <si>
    <t>OUTLET RECIFE - 109034</t>
  </si>
  <si>
    <t>ELIZABETH FERREIRA RODRIGUES</t>
  </si>
  <si>
    <t>ELMA FRANCISCA BARBOSA DE SOUZA</t>
  </si>
  <si>
    <t>EMILLY MILLENY PEREIRA DOS SANTOS</t>
  </si>
  <si>
    <t>EMILY DE MELO RIBEIRO</t>
  </si>
  <si>
    <t>ENA EMANOEL AUGUSTO ROSA DA SILVA</t>
  </si>
  <si>
    <t>ERIANA EVANGELISTA DA HORA MACHADO</t>
  </si>
  <si>
    <t>ERIC SILVEIRA DA CRUZ</t>
  </si>
  <si>
    <t>ERNANDES SOARES MACEDO</t>
  </si>
  <si>
    <t>ESTEFANIA SALOME LOPEZ</t>
  </si>
  <si>
    <t>ESTELA MIRIAN COSTA VAZ</t>
  </si>
  <si>
    <t>017 - OUTLET DUQUE DE CAXIAS</t>
  </si>
  <si>
    <t>OUTLET PREMMIUN RJ - 109018</t>
  </si>
  <si>
    <t>ESTHER ELIZA BATISTA BENFICA</t>
  </si>
  <si>
    <t>EVELYN FELIX DIAS</t>
  </si>
  <si>
    <t>EVERTON DE JESUS ALVARENGA GALHARDO</t>
  </si>
  <si>
    <t>FABIANO LIMA MARTINS</t>
  </si>
  <si>
    <t>FABIO EDUARDO DO NASCIMENTO</t>
  </si>
  <si>
    <t>FELIPE AIDAN SILVA</t>
  </si>
  <si>
    <t>LIDER OPERACIONAL</t>
  </si>
  <si>
    <t>FELIPE DA SILVA ARAUJO</t>
  </si>
  <si>
    <t>FELIPE DE OLIVEIRA AMERICO</t>
  </si>
  <si>
    <t>FELIPE DOS SANTOS BEMFICA</t>
  </si>
  <si>
    <t>FELIPE SILVA GODOI</t>
  </si>
  <si>
    <t>FELIPPE RIBEIRO DE ARAUJO</t>
  </si>
  <si>
    <t>FELIPPE ROCHA MARINHO</t>
  </si>
  <si>
    <t>FELLIPE MENDES DE OLIVEIRA</t>
  </si>
  <si>
    <t>FERNANDA MAUMY ALMEIDA E SILVA</t>
  </si>
  <si>
    <t>FERNANDA SANTOS MACEDO</t>
  </si>
  <si>
    <t>FERNANDO DA SILVA DE OLIVEIRA</t>
  </si>
  <si>
    <t>FERNANDO LOPES DOS REIS OLIVEIRA</t>
  </si>
  <si>
    <t>FILIPE JOAO DA SILVA</t>
  </si>
  <si>
    <t>FLAVIA THAIS FARIAS CAVALCANTE</t>
  </si>
  <si>
    <t>FLAVIO DA SILVA</t>
  </si>
  <si>
    <t>FRANCISCA NAYANE DA SILVA DE OLIVEIRA</t>
  </si>
  <si>
    <t>FRANCISCO EDNILSON DA SILVA LIMA</t>
  </si>
  <si>
    <t>FRANCISCO HELIO SILVA DE SOUSA</t>
  </si>
  <si>
    <t>FRANCISCO MACLAUD SANTOS ESCOTERO DE SANTANA</t>
  </si>
  <si>
    <t>FRANCISLENE CRISTINA DA SILVA MARQUES</t>
  </si>
  <si>
    <t>GABRIEL ANDREAZ RODRIGUES RIVERO LOURENCO</t>
  </si>
  <si>
    <t>GABRIEL DE FREITAS</t>
  </si>
  <si>
    <t>GABRIEL HENRIQUE SANTIAGO DA SILVA</t>
  </si>
  <si>
    <t>GABRIEL MASCARENHAS DE OLIVEIRA</t>
  </si>
  <si>
    <t>GABRIEL MENDONCA LIMA</t>
  </si>
  <si>
    <t>GABRIEL RESENDE DE PAULA</t>
  </si>
  <si>
    <t>GABRIEL VINICIUS DE ARRUDA</t>
  </si>
  <si>
    <t>GABRIELA RODRIGUES DA SILVA</t>
  </si>
  <si>
    <t>GENESSIS DE JESUS VIVAS LEAL</t>
  </si>
  <si>
    <t>GEOVANA CARVALHO DE JESUS</t>
  </si>
  <si>
    <t>GIOVANNE SPERAFICO ROCHA</t>
  </si>
  <si>
    <t>GIOVANNI CORDEIRO PINTO</t>
  </si>
  <si>
    <t>GRAZIELLA OLIVEIRA SILVA</t>
  </si>
  <si>
    <t>GUILHERME HONORATO FELIPE</t>
  </si>
  <si>
    <t>GUSTAVO HENRIQUE DE FARIA</t>
  </si>
  <si>
    <t>GUSTAVO LUCIANO SOARES NASCIMENTO</t>
  </si>
  <si>
    <t>HELDER MANOEL DOS SANTOS</t>
  </si>
  <si>
    <t>HEVERTON RIAN SILVEIRA DA COSTA</t>
  </si>
  <si>
    <t>HIGOR LEANDRO ALVES PARANA</t>
  </si>
  <si>
    <t>HILDILENE DA SILVA OLIVEIRA CAVALCANTE</t>
  </si>
  <si>
    <t>HUGO FILIPE GOMES ROCHA</t>
  </si>
  <si>
    <t>IASMIN MIRELA FERREIRA</t>
  </si>
  <si>
    <t>INGRID MEDINA ARAUJO</t>
  </si>
  <si>
    <t>ISABELLA CORREIA</t>
  </si>
  <si>
    <t>ISMAEL VILAR MOREIRA</t>
  </si>
  <si>
    <t>ISRAEL RODRIGUES DE ALMEIDA</t>
  </si>
  <si>
    <t>ISTEFFANI MAYARA RODRIGUES DA SILVA</t>
  </si>
  <si>
    <t>ITAMAR BELO DE MORAIS JUNIOR</t>
  </si>
  <si>
    <t>JAILSON VIEIRA DE SOUZA ALVES</t>
  </si>
  <si>
    <t>JAQUELINE DA SILVA REIS</t>
  </si>
  <si>
    <t>JAQUELINE JESUS DE OLIVEIRA</t>
  </si>
  <si>
    <t>JENIFFER DA ROCHA SOUZA</t>
  </si>
  <si>
    <t>JENIFFER DEISE SOARES LAGO DA SILVA</t>
  </si>
  <si>
    <t>JESSICA APARECIDA DE MOURA</t>
  </si>
  <si>
    <t>JOAO FERREIRA DE SOUSA NETO</t>
  </si>
  <si>
    <t>JOAO PEDRO MATIAS FERREIRA</t>
  </si>
  <si>
    <t>JOAO VITOR DA SILVA</t>
  </si>
  <si>
    <t>JOELSON MACHADO LEMES RIBEIRO</t>
  </si>
  <si>
    <t>JOICE MICAELE TRINDADE SOUZA</t>
  </si>
  <si>
    <t>JONATA OLIVEIRA DA SILVA</t>
  </si>
  <si>
    <t>JONNY VINICIUS BERNARDO DOS SANTOS</t>
  </si>
  <si>
    <t>JORDAN CARVALHO RIBEIRO</t>
  </si>
  <si>
    <t>JOSE LUAN FERNANDO ARAUJO</t>
  </si>
  <si>
    <t>JOSE ZIDANE MEDEIROS DA SILVA</t>
  </si>
  <si>
    <t>JOSEFA DE JESUS CARVALHO</t>
  </si>
  <si>
    <t>JOYCILENE MAYARA CARNEIRO DA SILVA</t>
  </si>
  <si>
    <t>JULYA KIMBERLLY DE ALCINO</t>
  </si>
  <si>
    <t>KACIANE MORAES PEREIRA</t>
  </si>
  <si>
    <t>KAIK SULLEMAN GOUVEIA DOS SANTOS</t>
  </si>
  <si>
    <t>KAIQUE MURAKAMI</t>
  </si>
  <si>
    <t>KAREN DOS SANTOS LIMA</t>
  </si>
  <si>
    <t>KAUAN ENRIQUE DA SILVA</t>
  </si>
  <si>
    <t>KAUE OLIVEIRA GONÇALVES</t>
  </si>
  <si>
    <t>KAUÊ ROBERIO SANTOS CONCEIÇÃO</t>
  </si>
  <si>
    <t>LARISSA CRISTINA RODRIGUES FLAVIO</t>
  </si>
  <si>
    <t>LARISSA FERNANDA DA COSTA FREIRE</t>
  </si>
  <si>
    <t>LEONARDO COSTA E SILVA</t>
  </si>
  <si>
    <t>LEONARDO DOS SANTOS NASCIMENTO</t>
  </si>
  <si>
    <t>LEONARDO JUNIOR DA SILVA</t>
  </si>
  <si>
    <t>LEONARDO SILVA SEABRA DA SILVA</t>
  </si>
  <si>
    <t>LETÍCIA ZAMPIERI DO NASCIMENTO</t>
  </si>
  <si>
    <t>LILIAN MOURA DE ARAUJO</t>
  </si>
  <si>
    <t>LUANA MARIA OLIVEIRA DA SILVA</t>
  </si>
  <si>
    <t>LUANA REGIS DE SA RAMOS SOUZA</t>
  </si>
  <si>
    <t>LUCAS CARVALHO DA SILVA</t>
  </si>
  <si>
    <t>LUCAS DURÃES DE MOURA</t>
  </si>
  <si>
    <t>LUCAS JHONATAN BRAZ</t>
  </si>
  <si>
    <t>LUCAS SOARES DE ASSIS</t>
  </si>
  <si>
    <t>LUCAS VASCONCELOS DA SILVA</t>
  </si>
  <si>
    <t>LUCIANA ROBADEJ DA SILVA</t>
  </si>
  <si>
    <t>LUCIANO VARGAS DE ARAUJO</t>
  </si>
  <si>
    <t>LUIZ FELLIPE LEITE REIS</t>
  </si>
  <si>
    <t>LUIZ FERNANDO MARÇAL DOS SANTOS</t>
  </si>
  <si>
    <t>LUIZA CAMARGO TOMAZ</t>
  </si>
  <si>
    <t>MAIARA CENTENO ROCHA</t>
  </si>
  <si>
    <t>MARCO ANTONIO DOMINGUES CORTINAS</t>
  </si>
  <si>
    <t>MARCOS ROBERTO DOS SANTOS CANCADO</t>
  </si>
  <si>
    <t>MARCOS VENICIO DOS SANTOS BORGES</t>
  </si>
  <si>
    <t>MARIA ELUANA ZEFERINO DE BORBA</t>
  </si>
  <si>
    <t>MARIA ISABEL PEREIRA ARAUJO</t>
  </si>
  <si>
    <t>MARIA IZABEL FERREIRA DE MELLO</t>
  </si>
  <si>
    <t>MARLENE SILVA SOARES</t>
  </si>
  <si>
    <t>MATHEUS APARECIDO FERREIRA</t>
  </si>
  <si>
    <t>MATHEUS AUGUSTO DA SILVA OLIVEIRA</t>
  </si>
  <si>
    <t>MATHEUS FIGUEIREDO AGUILAR GAMA</t>
  </si>
  <si>
    <t>MATHEUS HENRIQUE DE SOUZA DA HORA</t>
  </si>
  <si>
    <t>MATHEUS HENRIQUE SIMOES</t>
  </si>
  <si>
    <t>MATHEUS OLIVEIRA DA SILVA</t>
  </si>
  <si>
    <t>MICHELLE CAETANO DA SILVA</t>
  </si>
  <si>
    <t>MIRLANDA DA COSTA BRITO</t>
  </si>
  <si>
    <t>MISSILENE BATISTA DE OLIVEIRA</t>
  </si>
  <si>
    <t>MOISES AVELINO DA SILVEIRA</t>
  </si>
  <si>
    <t>NAIANA FERREIRA CAVALCANTE</t>
  </si>
  <si>
    <t>NAIANE GOMES DE SOUSA</t>
  </si>
  <si>
    <t>NATALI OLIVEIRA DA SILVA</t>
  </si>
  <si>
    <t>NATALIA MAGALHAES DA CRUZ PRATES</t>
  </si>
  <si>
    <t>NATHANNY VITHÓRIA SILVA GUIMARÃES</t>
  </si>
  <si>
    <t>NICOLAS CALIELL SANTOS DA SILVA</t>
  </si>
  <si>
    <t>NILSON LOPES LIMA</t>
  </si>
  <si>
    <t>NITCHELY CRISTINA ORRICO DOMINGUES</t>
  </si>
  <si>
    <t>PABLO OLIVEIRA DA CRUZ</t>
  </si>
  <si>
    <t>PABLO VINICIUS ARANTES DE MELO</t>
  </si>
  <si>
    <t>PATRICIA ALVES PEREIRA</t>
  </si>
  <si>
    <t>PATRICIA FRANCISCO DE SOUZA ETO</t>
  </si>
  <si>
    <t>PATRICIA LOURENÇO OLIVEIRA</t>
  </si>
  <si>
    <t>PATRICK GOMES DE JESUS</t>
  </si>
  <si>
    <t>PAULO CESAR DE SOUZA</t>
  </si>
  <si>
    <t>PEDRO ANTONIO GOMES GUIMARAES</t>
  </si>
  <si>
    <t>PEDRO HENRIQUE DE OLIVEIRA</t>
  </si>
  <si>
    <t>PEDRO IKARO DE OLIVEIRA TEIXEIRA</t>
  </si>
  <si>
    <t>PEDRO MEIRELLES DAVID RODRIGUES</t>
  </si>
  <si>
    <t>PEDRO PAULO FERREIRA DE JESUS</t>
  </si>
  <si>
    <t>PERLA KAROLAINE SANTOS MATOS</t>
  </si>
  <si>
    <t>PRISCILA MENDONÇA BARBOSA DE OLIVEIRA</t>
  </si>
  <si>
    <t>QUEZIA ELLEN LEAL ROCHA</t>
  </si>
  <si>
    <t>RAFAEL FIGUEIREDO TUDE</t>
  </si>
  <si>
    <t>RAFAEL SUGUIMATI RODRIGUES SILVA</t>
  </si>
  <si>
    <t>RAFAELA LIMA FARIAS</t>
  </si>
  <si>
    <t>RAMON GABRIEL RODRIGUES DA SILVA</t>
  </si>
  <si>
    <t>RAMON OLIVEIRA LIMA</t>
  </si>
  <si>
    <t>RAQUEL FERREIRA PORTO</t>
  </si>
  <si>
    <t>RAUAN DA SILVA SOUZA GONÇALVES</t>
  </si>
  <si>
    <t>REGINA CELIA CARDOSO MARREIRO</t>
  </si>
  <si>
    <t>REGINA PENNA GUIMARAES HENRIQUE</t>
  </si>
  <si>
    <t>RENATA TERTO DE SOUZA</t>
  </si>
  <si>
    <t>RENATA TOSTES DOS SANTOS</t>
  </si>
  <si>
    <t>RENE ROCHA DA SILVA</t>
  </si>
  <si>
    <t>RENI KIEWEL JUNIOR</t>
  </si>
  <si>
    <t>ROBERT BAHIA BRITO</t>
  </si>
  <si>
    <t>RODRIGO DA SILVA SEARÁ</t>
  </si>
  <si>
    <t>RODRIGO SIMAS GOMES</t>
  </si>
  <si>
    <t>ROGERIO GONCALVES</t>
  </si>
  <si>
    <t>RONIERE RAMON SANTOS DA SILVA</t>
  </si>
  <si>
    <t>ROSANGELA CRISTINA DE OLIVEIRA</t>
  </si>
  <si>
    <t>RUBIA BERTOLDO MARTINS</t>
  </si>
  <si>
    <t>SAMANTHA RIBEIRO MAURO</t>
  </si>
  <si>
    <t>SARA SILVA PEREIRA</t>
  </si>
  <si>
    <t>SAULO BARRETO MONSORES</t>
  </si>
  <si>
    <t>SHEILA SANTOS SOARES SILVA</t>
  </si>
  <si>
    <t>SHIRLEY GLAUCIANE GONÇALVES</t>
  </si>
  <si>
    <t>STEFANI NICOLE DE OLIVEIRA FARIA</t>
  </si>
  <si>
    <t>STHEFANY JANILLY MOREIRA MEIRA</t>
  </si>
  <si>
    <t>STHEPHANIE LISA PEREIRA DE LEMOS</t>
  </si>
  <si>
    <t>TAISSIANE GUERREIRO</t>
  </si>
  <si>
    <t>TALITA DE ALMEIDA SILVA</t>
  </si>
  <si>
    <t>TAYARA MARIA SODRE PERIARD</t>
  </si>
  <si>
    <t>TAYOANE LORENA GRECCO</t>
  </si>
  <si>
    <t>THAIS ANGONESE DE ALMEIDA</t>
  </si>
  <si>
    <t>THAIS DE LUCENA DA FONSECA DA SILVA</t>
  </si>
  <si>
    <t>THAIS MARCAL DE MELO</t>
  </si>
  <si>
    <t>THAISA DE LIMA BARBOSA</t>
  </si>
  <si>
    <t>THAMIRES CAMPOS DA SILVA</t>
  </si>
  <si>
    <t>THIAGO FARIAS SOUSA</t>
  </si>
  <si>
    <t>THIAGO TAQUES DE SOUZA RIBEIRO</t>
  </si>
  <si>
    <t>TIAGO LUCIANO FAGUNDES</t>
  </si>
  <si>
    <t>VALDEIR AFONSO DA SILVA</t>
  </si>
  <si>
    <t>VANESSA VIANA DA SILVA</t>
  </si>
  <si>
    <t>VANUSA DA ROSA</t>
  </si>
  <si>
    <t>VANUZIA PEIXINHO DA SILVA</t>
  </si>
  <si>
    <t>VERONICA VILLALVILLA LAINEZ</t>
  </si>
  <si>
    <t>VICTOR ANDRE MARTINS BELMIRO</t>
  </si>
  <si>
    <t>VICTORIA ELLEN ALVES GRANJA</t>
  </si>
  <si>
    <t>VINICIUS LEANDRO GERTRUDES SILVA</t>
  </si>
  <si>
    <t>VINICIUS NASCIMENTO PEREIRA</t>
  </si>
  <si>
    <t>VITOR HENRIQUE MOREIRA DE OLIVEIRA</t>
  </si>
  <si>
    <t>VITORIA MARIA CORREIA PINTO GALVAO</t>
  </si>
  <si>
    <t>WADSON NASCIMENTO DE LIMA</t>
  </si>
  <si>
    <t>WAGNER MOURA PEREIRA</t>
  </si>
  <si>
    <t>WANDERLAINE OLIVEIRA DE ALMEIDA AMORIM</t>
  </si>
  <si>
    <t>WELISSON FERREIRA DE CASTRO</t>
  </si>
  <si>
    <t>WELLINGTON BARBOSA KLIMUSCO SILVA</t>
  </si>
  <si>
    <t>WESLEY ALVES DA SILVA</t>
  </si>
  <si>
    <t>WILLIAM OLIVEIRA FERNANDES DA SILVA</t>
  </si>
  <si>
    <t>WILLIAN SILVA MAGELA</t>
  </si>
  <si>
    <t>YAGO DE PAULA CARDOSO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</si>
</sst>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&quot;R$&quot;\ #,##0"/>
    <numFmt numFmtId="166" formatCode="_-* #,##0_-;\-* #,##0_-;_-* &quot;-&quot;??_-;_-@_-"/>
  </numFmts>
  <fonts count="12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  <font>
      <b/>
      <sz val="13"/>
      <color rgb="FF17365D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Lacoste"/>
      <family val="3"/>
    </font>
    <font>
      <sz val="10"/>
      <color theme="1"/>
      <name val="Lacoste"/>
      <family val="3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8FBFD"/>
      </patternFill>
    </fill>
    <fill>
      <patternFill patternType="solid">
        <fgColor rgb="FF0F6B7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rgb="FFC0FFC0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medium">
        <color rgb="FF17365D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0" borderId="0" xfId="0" applyFont="1"/>
    <xf numFmtId="0" fontId="2" fillId="2" borderId="0" xfId="0" applyFon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6" fillId="6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6" fontId="7" fillId="2" borderId="0" xfId="1" applyNumberFormat="1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166" fontId="8" fillId="5" borderId="1" xfId="1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166" fontId="7" fillId="2" borderId="2" xfId="1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0" xfId="1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0" borderId="3" xfId="0" applyFont="1" applyBorder="1" applyAlignment="1">
      <alignment horizontal="left" readingOrder="1"/>
    </xf>
    <xf numFmtId="0" fontId="9" fillId="8" borderId="3" xfId="0" applyFont="1" applyFill="1" applyBorder="1" applyAlignment="1">
      <alignment horizontal="center" vertical="center" readingOrder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/>
    <xf numFmtId="0" fontId="0" fillId="0" borderId="0" xfId="0" applyAlignment="1"/>
  </cellXfs>
  <cellStyles count="2">
    <cellStyle name="Normal" xfId="0" builtinId="0"/>
    <cellStyle name="Vírgula" xfId="1" builtinId="3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>
      <pane ySplit="3" topLeftCell="A4" activePane="bottomLeft" state="frozen"/>
      <selection pane="bottomLeft" activeCell="C8" sqref="C8"/>
    </sheetView>
  </sheetViews>
  <sheetFormatPr defaultRowHeight="14.45"/>
  <cols>
    <col min="1" max="1" width="38" customWidth="1"/>
    <col min="2" max="2" width="24" customWidth="1"/>
    <col min="3" max="3" width="90" customWidth="1"/>
    <col min="4" max="4" width="12" customWidth="1"/>
  </cols>
  <sheetData>
    <row r="1" spans="1:4" ht="21">
      <c r="A1" s="38" t="s">
        <v>0</v>
      </c>
      <c r="B1" s="39"/>
      <c r="C1" s="39"/>
      <c r="D1" s="39"/>
    </row>
    <row r="3" spans="1:4">
      <c r="A3" s="6" t="s">
        <v>1</v>
      </c>
      <c r="B3" s="6" t="s">
        <v>2</v>
      </c>
      <c r="C3" s="6" t="s">
        <v>3</v>
      </c>
      <c r="D3" s="6"/>
    </row>
    <row r="4" spans="1:4">
      <c r="A4" s="2" t="s">
        <v>4</v>
      </c>
      <c r="B4" s="7">
        <f>SUM('Simulador por loja'!C2:C31)</f>
        <v>292</v>
      </c>
      <c r="C4" s="2" t="s">
        <v>5</v>
      </c>
      <c r="D4" s="2"/>
    </row>
    <row r="5" spans="1:4">
      <c r="A5" s="2" t="s">
        <v>6</v>
      </c>
      <c r="B5" s="7">
        <f>SUM('Simulador por loja'!D2:D31)</f>
        <v>90</v>
      </c>
      <c r="C5" s="2" t="s">
        <v>7</v>
      </c>
      <c r="D5" s="2"/>
    </row>
    <row r="6" spans="1:4">
      <c r="A6" s="2" t="s">
        <v>8</v>
      </c>
      <c r="B6" s="8">
        <f>SUM('Simulador por loja'!F2:F31)</f>
        <v>22110779</v>
      </c>
      <c r="C6" s="2" t="s">
        <v>9</v>
      </c>
      <c r="D6" s="2"/>
    </row>
    <row r="7" spans="1:4">
      <c r="A7" s="2" t="s">
        <v>10</v>
      </c>
      <c r="B7" s="7">
        <f>SUM('Simulador por loja'!W2:W31)</f>
        <v>269</v>
      </c>
      <c r="C7" s="2" t="s">
        <v>11</v>
      </c>
      <c r="D7" s="2"/>
    </row>
    <row r="8" spans="1:4">
      <c r="A8" s="2" t="s">
        <v>12</v>
      </c>
      <c r="B8" s="7">
        <f>SUM('Simulador por loja'!X2:X31)</f>
        <v>-23</v>
      </c>
      <c r="C8" s="2" t="s">
        <v>13</v>
      </c>
      <c r="D8" s="2"/>
    </row>
    <row r="11" spans="1:4" ht="17.100000000000001">
      <c r="A11" s="9" t="s">
        <v>14</v>
      </c>
    </row>
    <row r="12" spans="1:4">
      <c r="A12" s="37" t="s">
        <v>15</v>
      </c>
      <c r="B12" s="39"/>
      <c r="C12" s="39"/>
      <c r="D12" s="39"/>
    </row>
    <row r="13" spans="1:4">
      <c r="A13" s="37" t="s">
        <v>16</v>
      </c>
      <c r="B13" s="39"/>
      <c r="C13" s="39"/>
      <c r="D13" s="39"/>
    </row>
    <row r="14" spans="1:4">
      <c r="A14" s="37" t="s">
        <v>17</v>
      </c>
      <c r="B14" s="39"/>
      <c r="C14" s="39"/>
      <c r="D14" s="39"/>
    </row>
    <row r="15" spans="1:4">
      <c r="A15" s="37" t="s">
        <v>18</v>
      </c>
      <c r="B15" s="39"/>
      <c r="C15" s="39"/>
      <c r="D15" s="39"/>
    </row>
    <row r="16" spans="1:4">
      <c r="A16" s="37" t="s">
        <v>19</v>
      </c>
      <c r="B16" s="39"/>
      <c r="C16" s="39"/>
      <c r="D16" s="39"/>
    </row>
  </sheetData>
  <mergeCells count="6">
    <mergeCell ref="A1:D1"/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showGridLines="0" tabSelected="1" zoomScaleNormal="100" workbookViewId="0">
      <pane xSplit="4" topLeftCell="E1" activePane="topRight" state="frozen"/>
      <selection pane="topRight" activeCell="O2" sqref="O2"/>
    </sheetView>
  </sheetViews>
  <sheetFormatPr defaultColWidth="8.7109375" defaultRowHeight="12.95"/>
  <cols>
    <col min="1" max="1" width="14" style="14" customWidth="1"/>
    <col min="2" max="2" width="16.85546875" style="14" customWidth="1"/>
    <col min="3" max="3" width="8.5703125" style="27" customWidth="1"/>
    <col min="4" max="5" width="7.28515625" style="28" customWidth="1"/>
    <col min="6" max="8" width="13.42578125" style="27" customWidth="1"/>
    <col min="9" max="9" width="9" style="14" customWidth="1"/>
    <col min="10" max="10" width="9.28515625" style="14" customWidth="1"/>
    <col min="11" max="13" width="12" style="14" customWidth="1"/>
    <col min="14" max="14" width="17.85546875" style="27" customWidth="1"/>
    <col min="15" max="15" width="12.140625" style="27" customWidth="1"/>
    <col min="16" max="16" width="10.85546875" style="27" customWidth="1"/>
    <col min="17" max="17" width="11.28515625" style="27" customWidth="1"/>
    <col min="18" max="18" width="36" style="14" customWidth="1"/>
    <col min="19" max="19" width="44.7109375" style="14" customWidth="1"/>
    <col min="20" max="20" width="11.85546875" style="27" customWidth="1"/>
    <col min="21" max="21" width="11.42578125" style="27" customWidth="1"/>
    <col min="22" max="22" width="18" style="27" customWidth="1"/>
    <col min="23" max="23" width="13.140625" style="27" customWidth="1"/>
    <col min="24" max="24" width="17" style="27" customWidth="1"/>
    <col min="25" max="25" width="20" style="14" customWidth="1"/>
    <col min="26" max="26" width="16.85546875" style="14" customWidth="1"/>
    <col min="27" max="27" width="40" style="31" customWidth="1"/>
    <col min="28" max="28" width="26.42578125" style="14" bestFit="1" customWidth="1"/>
    <col min="29" max="29" width="70.140625" style="31" customWidth="1"/>
    <col min="30" max="16384" width="8.7109375" style="14"/>
  </cols>
  <sheetData>
    <row r="1" spans="1:29" ht="51.95">
      <c r="A1" s="11" t="s">
        <v>20</v>
      </c>
      <c r="B1" s="11" t="s">
        <v>21</v>
      </c>
      <c r="C1" s="12" t="s">
        <v>22</v>
      </c>
      <c r="D1" s="13" t="s">
        <v>23</v>
      </c>
      <c r="E1" s="13"/>
      <c r="F1" s="12" t="s">
        <v>24</v>
      </c>
      <c r="G1" s="12" t="s">
        <v>25</v>
      </c>
      <c r="H1" s="12" t="s">
        <v>26</v>
      </c>
      <c r="I1" s="11" t="s">
        <v>27</v>
      </c>
      <c r="J1" s="11" t="s">
        <v>28</v>
      </c>
      <c r="K1" s="11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34</v>
      </c>
      <c r="Q1" s="12" t="s">
        <v>35</v>
      </c>
      <c r="R1" s="11" t="s">
        <v>36</v>
      </c>
      <c r="S1" s="11" t="s">
        <v>37</v>
      </c>
      <c r="T1" s="12" t="s">
        <v>38</v>
      </c>
      <c r="U1" s="12" t="s">
        <v>39</v>
      </c>
      <c r="V1" s="12" t="s">
        <v>40</v>
      </c>
      <c r="W1" s="32" t="s">
        <v>10</v>
      </c>
      <c r="X1" s="12" t="s">
        <v>41</v>
      </c>
      <c r="Y1" s="11" t="s">
        <v>42</v>
      </c>
      <c r="Z1" s="11" t="s">
        <v>43</v>
      </c>
      <c r="AA1" s="11" t="s">
        <v>44</v>
      </c>
      <c r="AB1" s="11" t="s">
        <v>45</v>
      </c>
      <c r="AC1" s="11" t="s">
        <v>46</v>
      </c>
    </row>
    <row r="2" spans="1:29" ht="51.95">
      <c r="A2" s="15" t="s">
        <v>47</v>
      </c>
      <c r="B2" s="16" t="s">
        <v>48</v>
      </c>
      <c r="C2" s="17">
        <v>9</v>
      </c>
      <c r="D2" s="18">
        <v>3</v>
      </c>
      <c r="E2" s="18"/>
      <c r="F2" s="19">
        <v>1064306</v>
      </c>
      <c r="G2" s="19"/>
      <c r="H2" s="19"/>
      <c r="I2" s="20" t="s">
        <v>49</v>
      </c>
      <c r="J2" s="20" t="s">
        <v>50</v>
      </c>
      <c r="K2" s="20" t="s">
        <v>51</v>
      </c>
      <c r="L2" s="20" t="s">
        <v>52</v>
      </c>
      <c r="M2" s="20" t="s">
        <v>53</v>
      </c>
      <c r="N2" s="21">
        <v>1</v>
      </c>
      <c r="O2" s="29">
        <f>IF(A2="Boutique",Premissas!$B$6,Premissas!$B$7)</f>
        <v>4</v>
      </c>
      <c r="P2" s="29">
        <f>IF(A2="Boutique",Premissas!$B$8,Premissas!$B$9)</f>
        <v>6</v>
      </c>
      <c r="Q2" s="29">
        <f>(Premissas!$B$12*O2+Premissas!$B$13*P2)</f>
        <v>32</v>
      </c>
      <c r="R2" s="15" t="s">
        <v>54</v>
      </c>
      <c r="S2" s="15" t="s">
        <v>55</v>
      </c>
      <c r="T2" s="29">
        <f>Q2/Premissas!$B$5</f>
        <v>6.4</v>
      </c>
      <c r="U2" s="29">
        <f>ROUNDUP(T2/(1-Premissas!$B$10),0)</f>
        <v>9</v>
      </c>
      <c r="V2" s="29">
        <f>MAX(Premissas!$B$11,IF(D2="",Premissas!$B$11,D2))</f>
        <v>3</v>
      </c>
      <c r="W2" s="29">
        <f>MAX(U2,V2)</f>
        <v>9</v>
      </c>
      <c r="X2" s="29">
        <f t="shared" ref="X2:X31" si="0">W2-C2</f>
        <v>0</v>
      </c>
      <c r="Y2" s="22">
        <f t="shared" ref="Y2:Y31" si="1">IFERROR(F2/C2,0)</f>
        <v>118256.22222222222</v>
      </c>
      <c r="Z2" s="22">
        <f>IFERROR(F2/W2,0)</f>
        <v>118256.22222222222</v>
      </c>
      <c r="AA2" s="16" t="s">
        <v>56</v>
      </c>
      <c r="AB2" s="15" t="s">
        <v>57</v>
      </c>
      <c r="AC2" s="16" t="s">
        <v>58</v>
      </c>
    </row>
    <row r="3" spans="1:29" ht="51.95">
      <c r="A3" s="15" t="s">
        <v>47</v>
      </c>
      <c r="B3" s="16" t="s">
        <v>59</v>
      </c>
      <c r="C3" s="17">
        <v>9</v>
      </c>
      <c r="D3" s="18">
        <v>3</v>
      </c>
      <c r="E3" s="18"/>
      <c r="F3" s="19">
        <v>672289</v>
      </c>
      <c r="G3" s="19"/>
      <c r="H3" s="19"/>
      <c r="I3" s="20" t="s">
        <v>49</v>
      </c>
      <c r="J3" s="20" t="s">
        <v>50</v>
      </c>
      <c r="K3" s="20" t="s">
        <v>51</v>
      </c>
      <c r="L3" s="20" t="s">
        <v>60</v>
      </c>
      <c r="M3" s="20" t="s">
        <v>53</v>
      </c>
      <c r="N3" s="21">
        <v>1</v>
      </c>
      <c r="O3" s="29">
        <f>IF(A3="Boutique",Premissas!$B$6,Premissas!$B$7)</f>
        <v>4</v>
      </c>
      <c r="P3" s="29">
        <f>IF(A3="Boutique",Premissas!$B$8,Premissas!$B$9)</f>
        <v>6</v>
      </c>
      <c r="Q3" s="29">
        <f>(Premissas!$B$12*O3+Premissas!$B$13*P3)</f>
        <v>32</v>
      </c>
      <c r="R3" s="15" t="s">
        <v>54</v>
      </c>
      <c r="S3" s="15" t="s">
        <v>55</v>
      </c>
      <c r="T3" s="29">
        <f>Q3/Premissas!$B$5</f>
        <v>6.4</v>
      </c>
      <c r="U3" s="29">
        <f>ROUNDUP(T3/(1-Premissas!$B$10),0)</f>
        <v>9</v>
      </c>
      <c r="V3" s="29">
        <f>MAX(Premissas!$B$11,IF(D3="",Premissas!$B$11,D3))</f>
        <v>3</v>
      </c>
      <c r="W3" s="29">
        <f t="shared" ref="W3:W31" si="2">MAX(U3,V3)</f>
        <v>9</v>
      </c>
      <c r="X3" s="29">
        <f t="shared" si="0"/>
        <v>0</v>
      </c>
      <c r="Y3" s="22">
        <f t="shared" si="1"/>
        <v>74698.777777777781</v>
      </c>
      <c r="Z3" s="22">
        <f t="shared" ref="Z3:Z31" si="3">IFERROR(F3/W3,0)</f>
        <v>74698.777777777781</v>
      </c>
      <c r="AA3" s="16" t="s">
        <v>56</v>
      </c>
      <c r="AB3" s="15" t="s">
        <v>57</v>
      </c>
      <c r="AC3" s="16" t="s">
        <v>58</v>
      </c>
    </row>
    <row r="4" spans="1:29" ht="51.95">
      <c r="A4" s="15" t="s">
        <v>47</v>
      </c>
      <c r="B4" s="16" t="s">
        <v>61</v>
      </c>
      <c r="C4" s="17">
        <v>7</v>
      </c>
      <c r="D4" s="18">
        <v>3</v>
      </c>
      <c r="E4" s="18"/>
      <c r="F4" s="19">
        <v>367200</v>
      </c>
      <c r="G4" s="19"/>
      <c r="H4" s="19"/>
      <c r="I4" s="20" t="s">
        <v>49</v>
      </c>
      <c r="J4" s="20" t="s">
        <v>62</v>
      </c>
      <c r="K4" s="20" t="s">
        <v>51</v>
      </c>
      <c r="L4" s="20" t="s">
        <v>52</v>
      </c>
      <c r="M4" s="20" t="s">
        <v>63</v>
      </c>
      <c r="N4" s="21">
        <v>1</v>
      </c>
      <c r="O4" s="29">
        <v>3</v>
      </c>
      <c r="P4" s="29">
        <f>IF(A4="Boutique",Premissas!$B$8,Premissas!$B$9)</f>
        <v>6</v>
      </c>
      <c r="Q4" s="29">
        <f>(Premissas!$B$12*O4+Premissas!$B$13*P4)</f>
        <v>27</v>
      </c>
      <c r="R4" s="15" t="s">
        <v>54</v>
      </c>
      <c r="S4" s="15" t="s">
        <v>55</v>
      </c>
      <c r="T4" s="29">
        <f>Q4/Premissas!$B$5</f>
        <v>5.4</v>
      </c>
      <c r="U4" s="29">
        <f>ROUNDUP(T4/(1-Premissas!$B$10),0)</f>
        <v>8</v>
      </c>
      <c r="V4" s="29">
        <f>MAX(Premissas!$B$11,IF(D4="",Premissas!$B$11,D4))</f>
        <v>3</v>
      </c>
      <c r="W4" s="29">
        <f t="shared" si="2"/>
        <v>8</v>
      </c>
      <c r="X4" s="29">
        <f t="shared" si="0"/>
        <v>1</v>
      </c>
      <c r="Y4" s="22">
        <f t="shared" si="1"/>
        <v>52457.142857142855</v>
      </c>
      <c r="Z4" s="22">
        <f t="shared" si="3"/>
        <v>45900</v>
      </c>
      <c r="AA4" s="16" t="s">
        <v>56</v>
      </c>
      <c r="AB4" s="15" t="s">
        <v>57</v>
      </c>
      <c r="AC4" s="16" t="s">
        <v>58</v>
      </c>
    </row>
    <row r="5" spans="1:29" ht="51.95">
      <c r="A5" s="15" t="s">
        <v>47</v>
      </c>
      <c r="B5" s="16" t="s">
        <v>64</v>
      </c>
      <c r="C5" s="17">
        <v>8</v>
      </c>
      <c r="D5" s="18">
        <v>3</v>
      </c>
      <c r="E5" s="18"/>
      <c r="F5" s="19">
        <v>639410</v>
      </c>
      <c r="G5" s="19"/>
      <c r="H5" s="19"/>
      <c r="I5" s="20" t="s">
        <v>49</v>
      </c>
      <c r="J5" s="20" t="s">
        <v>50</v>
      </c>
      <c r="K5" s="20" t="s">
        <v>51</v>
      </c>
      <c r="L5" s="20" t="s">
        <v>52</v>
      </c>
      <c r="M5" s="20" t="s">
        <v>53</v>
      </c>
      <c r="N5" s="21">
        <v>1</v>
      </c>
      <c r="O5" s="29">
        <f>IF(A5="Boutique",Premissas!$B$6,Premissas!$B$7)</f>
        <v>4</v>
      </c>
      <c r="P5" s="29">
        <f>IF(A5="Boutique",Premissas!$B$8,Premissas!$B$9)</f>
        <v>6</v>
      </c>
      <c r="Q5" s="29">
        <f>(Premissas!$B$12*O5+Premissas!$B$13*P5)</f>
        <v>32</v>
      </c>
      <c r="R5" s="15" t="s">
        <v>54</v>
      </c>
      <c r="S5" s="15" t="s">
        <v>55</v>
      </c>
      <c r="T5" s="29">
        <f>Q5/Premissas!$B$5</f>
        <v>6.4</v>
      </c>
      <c r="U5" s="29">
        <f>ROUNDUP(T5/(1-Premissas!$B$10),0)</f>
        <v>9</v>
      </c>
      <c r="V5" s="29">
        <f>MAX(Premissas!$B$11,IF(D5="",Premissas!$B$11,D5))</f>
        <v>3</v>
      </c>
      <c r="W5" s="29">
        <f t="shared" si="2"/>
        <v>9</v>
      </c>
      <c r="X5" s="29">
        <f t="shared" si="0"/>
        <v>1</v>
      </c>
      <c r="Y5" s="22">
        <f t="shared" si="1"/>
        <v>79926.25</v>
      </c>
      <c r="Z5" s="22">
        <f t="shared" si="3"/>
        <v>71045.555555555562</v>
      </c>
      <c r="AA5" s="16" t="s">
        <v>56</v>
      </c>
      <c r="AB5" s="15" t="s">
        <v>57</v>
      </c>
      <c r="AC5" s="16" t="s">
        <v>58</v>
      </c>
    </row>
    <row r="6" spans="1:29" ht="51.95">
      <c r="A6" s="15" t="s">
        <v>47</v>
      </c>
      <c r="B6" s="16" t="s">
        <v>65</v>
      </c>
      <c r="C6" s="17">
        <v>12</v>
      </c>
      <c r="D6" s="18">
        <v>3</v>
      </c>
      <c r="E6" s="18"/>
      <c r="F6" s="19">
        <v>1178273</v>
      </c>
      <c r="G6" s="19"/>
      <c r="H6" s="19"/>
      <c r="I6" s="20" t="s">
        <v>49</v>
      </c>
      <c r="J6" s="20" t="s">
        <v>66</v>
      </c>
      <c r="K6" s="20" t="s">
        <v>51</v>
      </c>
      <c r="L6" s="20" t="s">
        <v>52</v>
      </c>
      <c r="M6" s="20" t="s">
        <v>67</v>
      </c>
      <c r="N6" s="21">
        <v>1</v>
      </c>
      <c r="O6" s="29">
        <f>IF(A6="Boutique",Premissas!$B$6,Premissas!$B$7)</f>
        <v>4</v>
      </c>
      <c r="P6" s="29">
        <f>IF(A6="Boutique",Premissas!$B$8,Premissas!$B$9)</f>
        <v>6</v>
      </c>
      <c r="Q6" s="29">
        <f>(Premissas!$B$12*O6+Premissas!$B$13*P6)</f>
        <v>32</v>
      </c>
      <c r="R6" s="15" t="s">
        <v>54</v>
      </c>
      <c r="S6" s="15" t="s">
        <v>55</v>
      </c>
      <c r="T6" s="29">
        <f>Q6/Premissas!$B$5</f>
        <v>6.4</v>
      </c>
      <c r="U6" s="29">
        <f>ROUNDUP(T6/(1-Premissas!$B$10),0)</f>
        <v>9</v>
      </c>
      <c r="V6" s="29">
        <f>MAX(Premissas!$B$11,IF(D6="",Premissas!$B$11,D6))</f>
        <v>3</v>
      </c>
      <c r="W6" s="29">
        <f t="shared" si="2"/>
        <v>9</v>
      </c>
      <c r="X6" s="29">
        <f t="shared" si="0"/>
        <v>-3</v>
      </c>
      <c r="Y6" s="22">
        <f t="shared" si="1"/>
        <v>98189.416666666672</v>
      </c>
      <c r="Z6" s="22">
        <f t="shared" si="3"/>
        <v>130919.22222222222</v>
      </c>
      <c r="AA6" s="16" t="s">
        <v>56</v>
      </c>
      <c r="AB6" s="15" t="s">
        <v>57</v>
      </c>
      <c r="AC6" s="16" t="s">
        <v>58</v>
      </c>
    </row>
    <row r="7" spans="1:29" ht="51.95">
      <c r="A7" s="15" t="s">
        <v>47</v>
      </c>
      <c r="B7" s="16" t="s">
        <v>68</v>
      </c>
      <c r="C7" s="17">
        <v>7</v>
      </c>
      <c r="D7" s="18">
        <v>3</v>
      </c>
      <c r="E7" s="18"/>
      <c r="F7" s="19">
        <v>608086</v>
      </c>
      <c r="G7" s="19"/>
      <c r="H7" s="19"/>
      <c r="I7" s="20" t="s">
        <v>49</v>
      </c>
      <c r="J7" s="20" t="s">
        <v>62</v>
      </c>
      <c r="K7" s="20" t="s">
        <v>51</v>
      </c>
      <c r="L7" s="20" t="s">
        <v>52</v>
      </c>
      <c r="M7" s="20" t="s">
        <v>63</v>
      </c>
      <c r="N7" s="21">
        <v>1</v>
      </c>
      <c r="O7" s="29">
        <f>IF(A7="Boutique",Premissas!$B$6,Premissas!$B$7)</f>
        <v>4</v>
      </c>
      <c r="P7" s="29">
        <f>IF(A7="Boutique",Premissas!$B$8,Premissas!$B$9)</f>
        <v>6</v>
      </c>
      <c r="Q7" s="29">
        <f>(Premissas!$B$12*O7+Premissas!$B$13*P7)</f>
        <v>32</v>
      </c>
      <c r="R7" s="15" t="s">
        <v>54</v>
      </c>
      <c r="S7" s="15" t="s">
        <v>55</v>
      </c>
      <c r="T7" s="29">
        <f>Q7/Premissas!$B$5</f>
        <v>6.4</v>
      </c>
      <c r="U7" s="29">
        <f>ROUNDUP(T7/(1-Premissas!$B$10),0)</f>
        <v>9</v>
      </c>
      <c r="V7" s="29">
        <f>MAX(Premissas!$B$11,IF(D7="",Premissas!$B$11,D7))</f>
        <v>3</v>
      </c>
      <c r="W7" s="29">
        <f t="shared" si="2"/>
        <v>9</v>
      </c>
      <c r="X7" s="29">
        <f t="shared" si="0"/>
        <v>2</v>
      </c>
      <c r="Y7" s="22">
        <f t="shared" si="1"/>
        <v>86869.428571428565</v>
      </c>
      <c r="Z7" s="22">
        <f t="shared" si="3"/>
        <v>67565.111111111109</v>
      </c>
      <c r="AA7" s="16" t="s">
        <v>56</v>
      </c>
      <c r="AB7" s="15" t="s">
        <v>57</v>
      </c>
      <c r="AC7" s="16" t="s">
        <v>58</v>
      </c>
    </row>
    <row r="8" spans="1:29" ht="51.95">
      <c r="A8" s="15" t="s">
        <v>47</v>
      </c>
      <c r="B8" s="16" t="s">
        <v>69</v>
      </c>
      <c r="C8" s="17">
        <v>8</v>
      </c>
      <c r="D8" s="18">
        <v>3</v>
      </c>
      <c r="E8" s="18"/>
      <c r="F8" s="19">
        <v>681683</v>
      </c>
      <c r="G8" s="19"/>
      <c r="H8" s="19"/>
      <c r="I8" s="20" t="s">
        <v>49</v>
      </c>
      <c r="J8" s="20" t="s">
        <v>50</v>
      </c>
      <c r="K8" s="20" t="s">
        <v>51</v>
      </c>
      <c r="L8" s="20" t="s">
        <v>52</v>
      </c>
      <c r="M8" s="20" t="s">
        <v>53</v>
      </c>
      <c r="N8" s="21">
        <v>1</v>
      </c>
      <c r="O8" s="29">
        <f>IF(A8="Boutique",Premissas!$B$6,Premissas!$B$7)</f>
        <v>4</v>
      </c>
      <c r="P8" s="29">
        <f>IF(A8="Boutique",Premissas!$B$8,Premissas!$B$9)</f>
        <v>6</v>
      </c>
      <c r="Q8" s="29">
        <f>(Premissas!$B$12*O8+Premissas!$B$13*P8)</f>
        <v>32</v>
      </c>
      <c r="R8" s="15" t="s">
        <v>54</v>
      </c>
      <c r="S8" s="15" t="s">
        <v>55</v>
      </c>
      <c r="T8" s="29">
        <f>Q8/Premissas!$B$5</f>
        <v>6.4</v>
      </c>
      <c r="U8" s="29">
        <f>ROUNDUP(T8/(1-Premissas!$B$10),0)</f>
        <v>9</v>
      </c>
      <c r="V8" s="29">
        <f>MAX(Premissas!$B$11,IF(D8="",Premissas!$B$11,D8))</f>
        <v>3</v>
      </c>
      <c r="W8" s="29">
        <f t="shared" si="2"/>
        <v>9</v>
      </c>
      <c r="X8" s="29">
        <f t="shared" si="0"/>
        <v>1</v>
      </c>
      <c r="Y8" s="22">
        <f t="shared" si="1"/>
        <v>85210.375</v>
      </c>
      <c r="Z8" s="22">
        <f t="shared" si="3"/>
        <v>75742.555555555562</v>
      </c>
      <c r="AA8" s="16" t="s">
        <v>56</v>
      </c>
      <c r="AB8" s="15" t="s">
        <v>57</v>
      </c>
      <c r="AC8" s="16" t="s">
        <v>58</v>
      </c>
    </row>
    <row r="9" spans="1:29" ht="51.95">
      <c r="A9" s="15" t="s">
        <v>47</v>
      </c>
      <c r="B9" s="16" t="s">
        <v>70</v>
      </c>
      <c r="C9" s="17">
        <v>9</v>
      </c>
      <c r="D9" s="18">
        <v>3</v>
      </c>
      <c r="E9" s="18"/>
      <c r="F9" s="19">
        <v>732025</v>
      </c>
      <c r="G9" s="19"/>
      <c r="H9" s="19"/>
      <c r="I9" s="20" t="s">
        <v>71</v>
      </c>
      <c r="J9" s="20" t="s">
        <v>72</v>
      </c>
      <c r="K9" s="20" t="s">
        <v>51</v>
      </c>
      <c r="L9" s="20" t="s">
        <v>73</v>
      </c>
      <c r="M9" s="20" t="s">
        <v>74</v>
      </c>
      <c r="N9" s="21">
        <v>1</v>
      </c>
      <c r="O9" s="29">
        <f>IF(A9="Boutique",Premissas!$B$6,Premissas!$B$7)</f>
        <v>4</v>
      </c>
      <c r="P9" s="29">
        <f>IF(A9="Boutique",Premissas!$B$8,Premissas!$B$9)</f>
        <v>6</v>
      </c>
      <c r="Q9" s="29">
        <f>(Premissas!$B$12*O9+Premissas!$B$13*P9)</f>
        <v>32</v>
      </c>
      <c r="R9" s="15" t="s">
        <v>54</v>
      </c>
      <c r="S9" s="15" t="s">
        <v>55</v>
      </c>
      <c r="T9" s="29">
        <f>Q9/Premissas!$B$5</f>
        <v>6.4</v>
      </c>
      <c r="U9" s="29">
        <f>ROUNDUP(T9/(1-Premissas!$B$10),0)</f>
        <v>9</v>
      </c>
      <c r="V9" s="29">
        <f>MAX(Premissas!$B$11,IF(D9="",Premissas!$B$11,D9))</f>
        <v>3</v>
      </c>
      <c r="W9" s="29">
        <f t="shared" si="2"/>
        <v>9</v>
      </c>
      <c r="X9" s="29">
        <f t="shared" si="0"/>
        <v>0</v>
      </c>
      <c r="Y9" s="22">
        <f t="shared" si="1"/>
        <v>81336.111111111109</v>
      </c>
      <c r="Z9" s="22">
        <f t="shared" si="3"/>
        <v>81336.111111111109</v>
      </c>
      <c r="AA9" s="16" t="s">
        <v>56</v>
      </c>
      <c r="AB9" s="15" t="s">
        <v>57</v>
      </c>
      <c r="AC9" s="16" t="s">
        <v>58</v>
      </c>
    </row>
    <row r="10" spans="1:29" ht="51.95">
      <c r="A10" s="15" t="s">
        <v>47</v>
      </c>
      <c r="B10" s="16" t="s">
        <v>75</v>
      </c>
      <c r="C10" s="17">
        <v>6</v>
      </c>
      <c r="D10" s="18">
        <v>3</v>
      </c>
      <c r="E10" s="18"/>
      <c r="F10" s="19">
        <v>0</v>
      </c>
      <c r="G10" s="19"/>
      <c r="H10" s="19"/>
      <c r="I10" s="20" t="s">
        <v>76</v>
      </c>
      <c r="J10" s="20" t="s">
        <v>77</v>
      </c>
      <c r="K10" s="20" t="s">
        <v>51</v>
      </c>
      <c r="L10" s="20" t="s">
        <v>78</v>
      </c>
      <c r="M10" s="20" t="s">
        <v>79</v>
      </c>
      <c r="N10" s="21">
        <v>1</v>
      </c>
      <c r="O10" s="29">
        <f>IF(A10="Boutique",Premissas!$B$6,Premissas!$B$7)</f>
        <v>4</v>
      </c>
      <c r="P10" s="29">
        <f>IF(A10="Boutique",Premissas!$B$8,Premissas!$B$9)</f>
        <v>6</v>
      </c>
      <c r="Q10" s="29">
        <f>(Premissas!$B$12*O10+Premissas!$B$13*P10)</f>
        <v>32</v>
      </c>
      <c r="R10" s="15" t="s">
        <v>54</v>
      </c>
      <c r="S10" s="15" t="s">
        <v>55</v>
      </c>
      <c r="T10" s="29">
        <f>Q10/Premissas!$B$5</f>
        <v>6.4</v>
      </c>
      <c r="U10" s="29">
        <f>ROUNDUP(T10/(1-Premissas!$B$10),0)</f>
        <v>9</v>
      </c>
      <c r="V10" s="29">
        <f>MAX(Premissas!$B$11,IF(D10="",Premissas!$B$11,D10))</f>
        <v>3</v>
      </c>
      <c r="W10" s="29">
        <f t="shared" si="2"/>
        <v>9</v>
      </c>
      <c r="X10" s="29">
        <f t="shared" si="0"/>
        <v>3</v>
      </c>
      <c r="Y10" s="22">
        <f t="shared" si="1"/>
        <v>0</v>
      </c>
      <c r="Z10" s="22">
        <f t="shared" si="3"/>
        <v>0</v>
      </c>
      <c r="AA10" s="16" t="s">
        <v>56</v>
      </c>
      <c r="AB10" s="15" t="s">
        <v>80</v>
      </c>
      <c r="AC10" s="16" t="s">
        <v>58</v>
      </c>
    </row>
    <row r="11" spans="1:29" ht="51.95">
      <c r="A11" s="15" t="s">
        <v>47</v>
      </c>
      <c r="B11" s="16" t="s">
        <v>81</v>
      </c>
      <c r="C11" s="17">
        <v>12</v>
      </c>
      <c r="D11" s="18">
        <v>3</v>
      </c>
      <c r="E11" s="18"/>
      <c r="F11" s="19">
        <v>1181174</v>
      </c>
      <c r="G11" s="19"/>
      <c r="H11" s="19"/>
      <c r="I11" s="20" t="s">
        <v>49</v>
      </c>
      <c r="J11" s="20" t="s">
        <v>50</v>
      </c>
      <c r="K11" s="20" t="s">
        <v>51</v>
      </c>
      <c r="L11" s="20" t="s">
        <v>52</v>
      </c>
      <c r="M11" s="20" t="s">
        <v>53</v>
      </c>
      <c r="N11" s="21">
        <v>1</v>
      </c>
      <c r="O11" s="29">
        <f>IF(A11="Boutique",Premissas!$B$6,Premissas!$B$7)</f>
        <v>4</v>
      </c>
      <c r="P11" s="29">
        <f>IF(A11="Boutique",Premissas!$B$8,Premissas!$B$9)</f>
        <v>6</v>
      </c>
      <c r="Q11" s="29">
        <f>(Premissas!$B$12*O11+Premissas!$B$13*P11)</f>
        <v>32</v>
      </c>
      <c r="R11" s="15" t="s">
        <v>54</v>
      </c>
      <c r="S11" s="15" t="s">
        <v>55</v>
      </c>
      <c r="T11" s="29">
        <f>Q11/Premissas!$B$5</f>
        <v>6.4</v>
      </c>
      <c r="U11" s="29">
        <f>ROUNDUP(T11/(1-Premissas!$B$10),0)</f>
        <v>9</v>
      </c>
      <c r="V11" s="29">
        <f>MAX(Premissas!$B$11,IF(D11="",Premissas!$B$11,D11))</f>
        <v>3</v>
      </c>
      <c r="W11" s="29">
        <f t="shared" si="2"/>
        <v>9</v>
      </c>
      <c r="X11" s="29">
        <f t="shared" si="0"/>
        <v>-3</v>
      </c>
      <c r="Y11" s="22">
        <f t="shared" si="1"/>
        <v>98431.166666666672</v>
      </c>
      <c r="Z11" s="22">
        <f t="shared" si="3"/>
        <v>131241.55555555556</v>
      </c>
      <c r="AA11" s="16" t="s">
        <v>56</v>
      </c>
      <c r="AB11" s="15" t="s">
        <v>57</v>
      </c>
      <c r="AC11" s="16" t="s">
        <v>58</v>
      </c>
    </row>
    <row r="12" spans="1:29" ht="51.95">
      <c r="A12" s="15" t="s">
        <v>47</v>
      </c>
      <c r="B12" s="16" t="s">
        <v>82</v>
      </c>
      <c r="C12" s="17">
        <v>8</v>
      </c>
      <c r="D12" s="18">
        <v>3</v>
      </c>
      <c r="E12" s="18"/>
      <c r="F12" s="19">
        <v>616966</v>
      </c>
      <c r="G12" s="19"/>
      <c r="H12" s="19"/>
      <c r="I12" s="20" t="s">
        <v>49</v>
      </c>
      <c r="J12" s="20" t="s">
        <v>83</v>
      </c>
      <c r="K12" s="20" t="s">
        <v>51</v>
      </c>
      <c r="L12" s="20" t="s">
        <v>52</v>
      </c>
      <c r="M12" s="20" t="s">
        <v>84</v>
      </c>
      <c r="N12" s="21">
        <v>1</v>
      </c>
      <c r="O12" s="29">
        <f>IF(A12="Boutique",Premissas!$B$6,Premissas!$B$7)</f>
        <v>4</v>
      </c>
      <c r="P12" s="29">
        <f>IF(A12="Boutique",Premissas!$B$8,Premissas!$B$9)</f>
        <v>6</v>
      </c>
      <c r="Q12" s="29">
        <f>(Premissas!$B$12*O12+Premissas!$B$13*P12)</f>
        <v>32</v>
      </c>
      <c r="R12" s="15" t="s">
        <v>54</v>
      </c>
      <c r="S12" s="15" t="s">
        <v>55</v>
      </c>
      <c r="T12" s="29">
        <f>Q12/Premissas!$B$5</f>
        <v>6.4</v>
      </c>
      <c r="U12" s="29">
        <f>ROUNDUP(T12/(1-Premissas!$B$10),0)</f>
        <v>9</v>
      </c>
      <c r="V12" s="29">
        <f>MAX(Premissas!$B$11,IF(D12="",Premissas!$B$11,D12))</f>
        <v>3</v>
      </c>
      <c r="W12" s="29">
        <f t="shared" si="2"/>
        <v>9</v>
      </c>
      <c r="X12" s="29">
        <f t="shared" si="0"/>
        <v>1</v>
      </c>
      <c r="Y12" s="22">
        <f t="shared" si="1"/>
        <v>77120.75</v>
      </c>
      <c r="Z12" s="22">
        <f t="shared" si="3"/>
        <v>68551.777777777781</v>
      </c>
      <c r="AA12" s="16" t="s">
        <v>56</v>
      </c>
      <c r="AB12" s="15" t="s">
        <v>57</v>
      </c>
      <c r="AC12" s="16" t="s">
        <v>58</v>
      </c>
    </row>
    <row r="13" spans="1:29" ht="51.95">
      <c r="A13" s="15" t="s">
        <v>85</v>
      </c>
      <c r="B13" s="16" t="s">
        <v>86</v>
      </c>
      <c r="C13" s="17">
        <v>6</v>
      </c>
      <c r="D13" s="18">
        <v>3</v>
      </c>
      <c r="E13" s="18"/>
      <c r="F13" s="19">
        <v>324687</v>
      </c>
      <c r="G13" s="19"/>
      <c r="H13" s="19"/>
      <c r="I13" s="20" t="s">
        <v>49</v>
      </c>
      <c r="J13" s="20" t="s">
        <v>83</v>
      </c>
      <c r="K13" s="20" t="s">
        <v>51</v>
      </c>
      <c r="L13" s="20" t="s">
        <v>52</v>
      </c>
      <c r="M13" s="20" t="s">
        <v>84</v>
      </c>
      <c r="N13" s="21">
        <v>1</v>
      </c>
      <c r="O13" s="29">
        <f>IF(A13="Boutique",Premissas!$B$6,Premissas!$B$7)</f>
        <v>4</v>
      </c>
      <c r="P13" s="29">
        <f>IF(A13="Boutique",Premissas!$B$8,Premissas!$B$9)</f>
        <v>6</v>
      </c>
      <c r="Q13" s="29">
        <f>(Premissas!$B$12*O13+Premissas!$B$13*P13)</f>
        <v>32</v>
      </c>
      <c r="R13" s="15" t="s">
        <v>87</v>
      </c>
      <c r="S13" s="15" t="s">
        <v>88</v>
      </c>
      <c r="T13" s="29">
        <f>Q13/Premissas!$B$5</f>
        <v>6.4</v>
      </c>
      <c r="U13" s="29">
        <f>ROUNDUP(T13/(1-Premissas!$B$10),0)</f>
        <v>9</v>
      </c>
      <c r="V13" s="29">
        <f>MAX(Premissas!$B$11,IF(D13="",Premissas!$B$11,D13))</f>
        <v>3</v>
      </c>
      <c r="W13" s="29">
        <f t="shared" si="2"/>
        <v>9</v>
      </c>
      <c r="X13" s="29">
        <f t="shared" si="0"/>
        <v>3</v>
      </c>
      <c r="Y13" s="22">
        <f t="shared" si="1"/>
        <v>54114.5</v>
      </c>
      <c r="Z13" s="22">
        <f t="shared" si="3"/>
        <v>36076.333333333336</v>
      </c>
      <c r="AA13" s="16" t="s">
        <v>56</v>
      </c>
      <c r="AB13" s="15" t="s">
        <v>57</v>
      </c>
      <c r="AC13" s="16" t="s">
        <v>58</v>
      </c>
    </row>
    <row r="14" spans="1:29" ht="51.95">
      <c r="A14" s="15" t="s">
        <v>85</v>
      </c>
      <c r="B14" s="16" t="s">
        <v>89</v>
      </c>
      <c r="C14" s="17">
        <v>12</v>
      </c>
      <c r="D14" s="18">
        <v>3</v>
      </c>
      <c r="E14" s="18"/>
      <c r="F14" s="19">
        <v>717696</v>
      </c>
      <c r="G14" s="19"/>
      <c r="H14" s="19"/>
      <c r="I14" s="20" t="s">
        <v>90</v>
      </c>
      <c r="J14" s="20" t="s">
        <v>77</v>
      </c>
      <c r="K14" s="20" t="s">
        <v>51</v>
      </c>
      <c r="L14" s="20" t="s">
        <v>91</v>
      </c>
      <c r="M14" s="20" t="s">
        <v>79</v>
      </c>
      <c r="N14" s="21">
        <v>1</v>
      </c>
      <c r="O14" s="29">
        <f>IF(A14="Boutique",Premissas!$B$6,Premissas!$B$7)</f>
        <v>4</v>
      </c>
      <c r="P14" s="29">
        <f>IF(A14="Boutique",Premissas!$B$8,Premissas!$B$9)</f>
        <v>6</v>
      </c>
      <c r="Q14" s="29">
        <f>(Premissas!$B$12*O14+Premissas!$B$13*P14)</f>
        <v>32</v>
      </c>
      <c r="R14" s="15" t="s">
        <v>87</v>
      </c>
      <c r="S14" s="15" t="s">
        <v>88</v>
      </c>
      <c r="T14" s="29">
        <f>Q14/Premissas!$B$5</f>
        <v>6.4</v>
      </c>
      <c r="U14" s="29">
        <f>ROUNDUP(T14/(1-Premissas!$B$10),0)</f>
        <v>9</v>
      </c>
      <c r="V14" s="29">
        <f>MAX(Premissas!$B$11,IF(D14="",Premissas!$B$11,D14))</f>
        <v>3</v>
      </c>
      <c r="W14" s="29">
        <f t="shared" si="2"/>
        <v>9</v>
      </c>
      <c r="X14" s="29">
        <f t="shared" si="0"/>
        <v>-3</v>
      </c>
      <c r="Y14" s="22">
        <f t="shared" si="1"/>
        <v>59808</v>
      </c>
      <c r="Z14" s="22">
        <f t="shared" si="3"/>
        <v>79744</v>
      </c>
      <c r="AA14" s="16" t="s">
        <v>56</v>
      </c>
      <c r="AB14" s="15" t="s">
        <v>57</v>
      </c>
      <c r="AC14" s="16" t="s">
        <v>58</v>
      </c>
    </row>
    <row r="15" spans="1:29" ht="51.95">
      <c r="A15" s="15" t="s">
        <v>85</v>
      </c>
      <c r="B15" s="16" t="s">
        <v>92</v>
      </c>
      <c r="C15" s="17">
        <v>14</v>
      </c>
      <c r="D15" s="18">
        <v>3</v>
      </c>
      <c r="E15" s="18"/>
      <c r="F15" s="19">
        <v>951435</v>
      </c>
      <c r="G15" s="19"/>
      <c r="H15" s="19"/>
      <c r="I15" s="20" t="s">
        <v>90</v>
      </c>
      <c r="J15" s="20" t="s">
        <v>77</v>
      </c>
      <c r="K15" s="20" t="s">
        <v>51</v>
      </c>
      <c r="L15" s="20" t="s">
        <v>91</v>
      </c>
      <c r="M15" s="20" t="s">
        <v>79</v>
      </c>
      <c r="N15" s="21">
        <v>1</v>
      </c>
      <c r="O15" s="29">
        <f>IF(A15="Boutique",Premissas!$B$6,Premissas!$B$7)</f>
        <v>4</v>
      </c>
      <c r="P15" s="29">
        <f>IF(A15="Boutique",Premissas!$B$8,Premissas!$B$9)</f>
        <v>6</v>
      </c>
      <c r="Q15" s="29">
        <f>(Premissas!$B$12*O15+Premissas!$B$13*P15)</f>
        <v>32</v>
      </c>
      <c r="R15" s="15" t="s">
        <v>87</v>
      </c>
      <c r="S15" s="15" t="s">
        <v>88</v>
      </c>
      <c r="T15" s="29">
        <f>Q15/Premissas!$B$5</f>
        <v>6.4</v>
      </c>
      <c r="U15" s="29">
        <f>ROUNDUP(T15/(1-Premissas!$B$10),0)</f>
        <v>9</v>
      </c>
      <c r="V15" s="29">
        <f>MAX(Premissas!$B$11,IF(D15="",Premissas!$B$11,D15))</f>
        <v>3</v>
      </c>
      <c r="W15" s="29">
        <f t="shared" si="2"/>
        <v>9</v>
      </c>
      <c r="X15" s="29">
        <f t="shared" si="0"/>
        <v>-5</v>
      </c>
      <c r="Y15" s="22">
        <f t="shared" si="1"/>
        <v>67959.642857142855</v>
      </c>
      <c r="Z15" s="22">
        <f t="shared" si="3"/>
        <v>105715</v>
      </c>
      <c r="AA15" s="16" t="s">
        <v>56</v>
      </c>
      <c r="AB15" s="15" t="s">
        <v>57</v>
      </c>
      <c r="AC15" s="16" t="s">
        <v>58</v>
      </c>
    </row>
    <row r="16" spans="1:29" ht="51.95">
      <c r="A16" s="15" t="s">
        <v>85</v>
      </c>
      <c r="B16" s="16" t="s">
        <v>93</v>
      </c>
      <c r="C16" s="17">
        <v>10</v>
      </c>
      <c r="D16" s="18">
        <v>3</v>
      </c>
      <c r="E16" s="18"/>
      <c r="F16" s="19">
        <v>647541</v>
      </c>
      <c r="G16" s="19"/>
      <c r="H16" s="19"/>
      <c r="I16" s="20" t="s">
        <v>49</v>
      </c>
      <c r="J16" s="20" t="s">
        <v>83</v>
      </c>
      <c r="K16" s="20" t="s">
        <v>51</v>
      </c>
      <c r="L16" s="20" t="s">
        <v>52</v>
      </c>
      <c r="M16" s="20" t="s">
        <v>84</v>
      </c>
      <c r="N16" s="21">
        <v>1</v>
      </c>
      <c r="O16" s="29">
        <f>IF(A16="Boutique",Premissas!$B$6,Premissas!$B$7)</f>
        <v>4</v>
      </c>
      <c r="P16" s="29">
        <f>IF(A16="Boutique",Premissas!$B$8,Premissas!$B$9)</f>
        <v>6</v>
      </c>
      <c r="Q16" s="29">
        <f>(Premissas!$B$12*O16+Premissas!$B$13*P16)</f>
        <v>32</v>
      </c>
      <c r="R16" s="15" t="s">
        <v>87</v>
      </c>
      <c r="S16" s="15" t="s">
        <v>88</v>
      </c>
      <c r="T16" s="29">
        <f>Q16/Premissas!$B$5</f>
        <v>6.4</v>
      </c>
      <c r="U16" s="29">
        <f>ROUNDUP(T16/(1-Premissas!$B$10),0)</f>
        <v>9</v>
      </c>
      <c r="V16" s="29">
        <f>MAX(Premissas!$B$11,IF(D16="",Premissas!$B$11,D16))</f>
        <v>3</v>
      </c>
      <c r="W16" s="29">
        <f t="shared" si="2"/>
        <v>9</v>
      </c>
      <c r="X16" s="29">
        <f t="shared" si="0"/>
        <v>-1</v>
      </c>
      <c r="Y16" s="22">
        <f t="shared" si="1"/>
        <v>64754.1</v>
      </c>
      <c r="Z16" s="22">
        <f t="shared" si="3"/>
        <v>71949</v>
      </c>
      <c r="AA16" s="16" t="s">
        <v>56</v>
      </c>
      <c r="AB16" s="15" t="s">
        <v>57</v>
      </c>
      <c r="AC16" s="16" t="s">
        <v>58</v>
      </c>
    </row>
    <row r="17" spans="1:29" ht="51.95">
      <c r="A17" s="15" t="s">
        <v>85</v>
      </c>
      <c r="B17" s="16" t="s">
        <v>94</v>
      </c>
      <c r="C17" s="17">
        <v>18</v>
      </c>
      <c r="D17" s="18">
        <v>3</v>
      </c>
      <c r="E17" s="18"/>
      <c r="F17" s="19">
        <v>1495905</v>
      </c>
      <c r="G17" s="19"/>
      <c r="H17" s="19"/>
      <c r="I17" s="20" t="s">
        <v>90</v>
      </c>
      <c r="J17" s="20" t="s">
        <v>77</v>
      </c>
      <c r="K17" s="20" t="s">
        <v>51</v>
      </c>
      <c r="L17" s="20" t="s">
        <v>91</v>
      </c>
      <c r="M17" s="20" t="s">
        <v>79</v>
      </c>
      <c r="N17" s="21">
        <v>1</v>
      </c>
      <c r="O17" s="29">
        <f>IF(A17="Boutique",Premissas!$B$6,Premissas!$B$7)</f>
        <v>4</v>
      </c>
      <c r="P17" s="29">
        <f>IF(A17="Boutique",Premissas!$B$8,Premissas!$B$9)</f>
        <v>6</v>
      </c>
      <c r="Q17" s="29">
        <f>(Premissas!$B$12*O17+Premissas!$B$13*P17)</f>
        <v>32</v>
      </c>
      <c r="R17" s="15" t="s">
        <v>87</v>
      </c>
      <c r="S17" s="15" t="s">
        <v>88</v>
      </c>
      <c r="T17" s="29">
        <f>Q17/Premissas!$B$5</f>
        <v>6.4</v>
      </c>
      <c r="U17" s="29">
        <f>ROUNDUP(T17/(1-Premissas!$B$10),0)</f>
        <v>9</v>
      </c>
      <c r="V17" s="29">
        <f>MAX(Premissas!$B$11,IF(D17="",Premissas!$B$11,D17))</f>
        <v>3</v>
      </c>
      <c r="W17" s="29">
        <f t="shared" si="2"/>
        <v>9</v>
      </c>
      <c r="X17" s="29">
        <f t="shared" si="0"/>
        <v>-9</v>
      </c>
      <c r="Y17" s="22">
        <f t="shared" si="1"/>
        <v>83105.833333333328</v>
      </c>
      <c r="Z17" s="22">
        <f t="shared" si="3"/>
        <v>166211.66666666666</v>
      </c>
      <c r="AA17" s="16" t="s">
        <v>56</v>
      </c>
      <c r="AB17" s="15" t="s">
        <v>57</v>
      </c>
      <c r="AC17" s="16" t="s">
        <v>58</v>
      </c>
    </row>
    <row r="18" spans="1:29" ht="51.95">
      <c r="A18" s="15" t="s">
        <v>85</v>
      </c>
      <c r="B18" s="16" t="s">
        <v>95</v>
      </c>
      <c r="C18" s="17">
        <v>9</v>
      </c>
      <c r="D18" s="18">
        <v>3</v>
      </c>
      <c r="E18" s="18"/>
      <c r="F18" s="19">
        <v>583490</v>
      </c>
      <c r="G18" s="19"/>
      <c r="H18" s="19"/>
      <c r="I18" s="20" t="s">
        <v>49</v>
      </c>
      <c r="J18" s="20" t="s">
        <v>83</v>
      </c>
      <c r="K18" s="20" t="s">
        <v>51</v>
      </c>
      <c r="L18" s="20" t="s">
        <v>52</v>
      </c>
      <c r="M18" s="20" t="s">
        <v>84</v>
      </c>
      <c r="N18" s="21">
        <v>1</v>
      </c>
      <c r="O18" s="29">
        <f>IF(A18="Boutique",Premissas!$B$6,Premissas!$B$7)</f>
        <v>4</v>
      </c>
      <c r="P18" s="29">
        <f>IF(A18="Boutique",Premissas!$B$8,Premissas!$B$9)</f>
        <v>6</v>
      </c>
      <c r="Q18" s="29">
        <f>(Premissas!$B$12*O18+Premissas!$B$13*P18)</f>
        <v>32</v>
      </c>
      <c r="R18" s="15" t="s">
        <v>87</v>
      </c>
      <c r="S18" s="15" t="s">
        <v>88</v>
      </c>
      <c r="T18" s="29">
        <f>Q18/Premissas!$B$5</f>
        <v>6.4</v>
      </c>
      <c r="U18" s="29">
        <f>ROUNDUP(T18/(1-Premissas!$B$10),0)</f>
        <v>9</v>
      </c>
      <c r="V18" s="29">
        <f>MAX(Premissas!$B$11,IF(D18="",Premissas!$B$11,D18))</f>
        <v>3</v>
      </c>
      <c r="W18" s="29">
        <f t="shared" si="2"/>
        <v>9</v>
      </c>
      <c r="X18" s="29">
        <f t="shared" si="0"/>
        <v>0</v>
      </c>
      <c r="Y18" s="22">
        <f t="shared" si="1"/>
        <v>64832.222222222219</v>
      </c>
      <c r="Z18" s="22">
        <f t="shared" si="3"/>
        <v>64832.222222222219</v>
      </c>
      <c r="AA18" s="16" t="s">
        <v>56</v>
      </c>
      <c r="AB18" s="15" t="s">
        <v>57</v>
      </c>
      <c r="AC18" s="16" t="s">
        <v>58</v>
      </c>
    </row>
    <row r="19" spans="1:29" ht="51.95">
      <c r="A19" s="15" t="s">
        <v>85</v>
      </c>
      <c r="B19" s="16" t="s">
        <v>96</v>
      </c>
      <c r="C19" s="17">
        <v>10</v>
      </c>
      <c r="D19" s="18">
        <v>3</v>
      </c>
      <c r="E19" s="18"/>
      <c r="F19" s="19">
        <v>794823</v>
      </c>
      <c r="G19" s="19"/>
      <c r="H19" s="19"/>
      <c r="I19" s="20" t="s">
        <v>90</v>
      </c>
      <c r="J19" s="20" t="s">
        <v>97</v>
      </c>
      <c r="K19" s="20" t="s">
        <v>51</v>
      </c>
      <c r="L19" s="20" t="s">
        <v>91</v>
      </c>
      <c r="M19" s="20" t="s">
        <v>98</v>
      </c>
      <c r="N19" s="21">
        <v>1</v>
      </c>
      <c r="O19" s="29">
        <f>IF(A19="Boutique",Premissas!$B$6,Premissas!$B$7)</f>
        <v>4</v>
      </c>
      <c r="P19" s="29">
        <f>IF(A19="Boutique",Premissas!$B$8,Premissas!$B$9)</f>
        <v>6</v>
      </c>
      <c r="Q19" s="29">
        <f>(Premissas!$B$12*O19+Premissas!$B$13*P19)</f>
        <v>32</v>
      </c>
      <c r="R19" s="15" t="s">
        <v>87</v>
      </c>
      <c r="S19" s="15" t="s">
        <v>88</v>
      </c>
      <c r="T19" s="29">
        <f>Q19/Premissas!$B$5</f>
        <v>6.4</v>
      </c>
      <c r="U19" s="29">
        <f>ROUNDUP(T19/(1-Premissas!$B$10),0)</f>
        <v>9</v>
      </c>
      <c r="V19" s="29">
        <f>MAX(Premissas!$B$11,IF(D19="",Premissas!$B$11,D19))</f>
        <v>3</v>
      </c>
      <c r="W19" s="29">
        <f t="shared" si="2"/>
        <v>9</v>
      </c>
      <c r="X19" s="29">
        <f t="shared" si="0"/>
        <v>-1</v>
      </c>
      <c r="Y19" s="22">
        <f t="shared" si="1"/>
        <v>79482.3</v>
      </c>
      <c r="Z19" s="22">
        <f t="shared" si="3"/>
        <v>88313.666666666672</v>
      </c>
      <c r="AA19" s="16" t="s">
        <v>56</v>
      </c>
      <c r="AB19" s="15" t="s">
        <v>57</v>
      </c>
      <c r="AC19" s="16" t="s">
        <v>58</v>
      </c>
    </row>
    <row r="20" spans="1:29" ht="51.95">
      <c r="A20" s="15" t="s">
        <v>85</v>
      </c>
      <c r="B20" s="16" t="s">
        <v>99</v>
      </c>
      <c r="C20" s="17">
        <v>9</v>
      </c>
      <c r="D20" s="18">
        <v>3</v>
      </c>
      <c r="E20" s="18"/>
      <c r="F20" s="19">
        <v>654075</v>
      </c>
      <c r="G20" s="19"/>
      <c r="H20" s="19"/>
      <c r="I20" s="20" t="s">
        <v>90</v>
      </c>
      <c r="J20" s="20" t="s">
        <v>77</v>
      </c>
      <c r="K20" s="20" t="s">
        <v>51</v>
      </c>
      <c r="L20" s="20" t="s">
        <v>91</v>
      </c>
      <c r="M20" s="20" t="s">
        <v>79</v>
      </c>
      <c r="N20" s="21">
        <v>1</v>
      </c>
      <c r="O20" s="29">
        <f>IF(A20="Boutique",Premissas!$B$6,Premissas!$B$7)</f>
        <v>4</v>
      </c>
      <c r="P20" s="29">
        <f>IF(A20="Boutique",Premissas!$B$8,Premissas!$B$9)</f>
        <v>6</v>
      </c>
      <c r="Q20" s="29">
        <f>(Premissas!$B$12*O20+Premissas!$B$13*P20)</f>
        <v>32</v>
      </c>
      <c r="R20" s="15" t="s">
        <v>87</v>
      </c>
      <c r="S20" s="15" t="s">
        <v>88</v>
      </c>
      <c r="T20" s="29">
        <f>Q20/Premissas!$B$5</f>
        <v>6.4</v>
      </c>
      <c r="U20" s="29">
        <f>ROUNDUP(T20/(1-Premissas!$B$10),0)</f>
        <v>9</v>
      </c>
      <c r="V20" s="29">
        <f>MAX(Premissas!$B$11,IF(D20="",Premissas!$B$11,D20))</f>
        <v>3</v>
      </c>
      <c r="W20" s="29">
        <f t="shared" si="2"/>
        <v>9</v>
      </c>
      <c r="X20" s="29">
        <f t="shared" si="0"/>
        <v>0</v>
      </c>
      <c r="Y20" s="22">
        <f t="shared" si="1"/>
        <v>72675</v>
      </c>
      <c r="Z20" s="22">
        <f t="shared" si="3"/>
        <v>72675</v>
      </c>
      <c r="AA20" s="16" t="s">
        <v>56</v>
      </c>
      <c r="AB20" s="15" t="s">
        <v>57</v>
      </c>
      <c r="AC20" s="16" t="s">
        <v>58</v>
      </c>
    </row>
    <row r="21" spans="1:29" ht="51.95">
      <c r="A21" s="15" t="s">
        <v>85</v>
      </c>
      <c r="B21" s="16" t="s">
        <v>100</v>
      </c>
      <c r="C21" s="17">
        <v>11</v>
      </c>
      <c r="D21" s="18">
        <v>3</v>
      </c>
      <c r="E21" s="18"/>
      <c r="F21" s="19">
        <v>866051</v>
      </c>
      <c r="G21" s="19"/>
      <c r="H21" s="19"/>
      <c r="I21" s="20" t="s">
        <v>90</v>
      </c>
      <c r="J21" s="20" t="s">
        <v>77</v>
      </c>
      <c r="K21" s="20" t="s">
        <v>51</v>
      </c>
      <c r="L21" s="20" t="s">
        <v>91</v>
      </c>
      <c r="M21" s="20" t="s">
        <v>79</v>
      </c>
      <c r="N21" s="21">
        <v>1</v>
      </c>
      <c r="O21" s="29">
        <f>IF(A21="Boutique",Premissas!$B$6,Premissas!$B$7)</f>
        <v>4</v>
      </c>
      <c r="P21" s="29">
        <f>IF(A21="Boutique",Premissas!$B$8,Premissas!$B$9)</f>
        <v>6</v>
      </c>
      <c r="Q21" s="29">
        <f>(Premissas!$B$12*O21+Premissas!$B$13*P21)</f>
        <v>32</v>
      </c>
      <c r="R21" s="15" t="s">
        <v>87</v>
      </c>
      <c r="S21" s="15" t="s">
        <v>88</v>
      </c>
      <c r="T21" s="29">
        <f>Q21/Premissas!$B$5</f>
        <v>6.4</v>
      </c>
      <c r="U21" s="29">
        <f>ROUNDUP(T21/(1-Premissas!$B$10),0)</f>
        <v>9</v>
      </c>
      <c r="V21" s="29">
        <f>MAX(Premissas!$B$11,IF(D21="",Premissas!$B$11,D21))</f>
        <v>3</v>
      </c>
      <c r="W21" s="29">
        <f t="shared" si="2"/>
        <v>9</v>
      </c>
      <c r="X21" s="29">
        <f t="shared" si="0"/>
        <v>-2</v>
      </c>
      <c r="Y21" s="22">
        <f t="shared" si="1"/>
        <v>78731.909090909088</v>
      </c>
      <c r="Z21" s="22">
        <f t="shared" si="3"/>
        <v>96227.888888888891</v>
      </c>
      <c r="AA21" s="16" t="s">
        <v>56</v>
      </c>
      <c r="AB21" s="15" t="s">
        <v>57</v>
      </c>
      <c r="AC21" s="16" t="s">
        <v>58</v>
      </c>
    </row>
    <row r="22" spans="1:29" ht="51.95">
      <c r="A22" s="15" t="s">
        <v>85</v>
      </c>
      <c r="B22" s="16" t="s">
        <v>101</v>
      </c>
      <c r="C22" s="17">
        <v>10</v>
      </c>
      <c r="D22" s="18">
        <v>3</v>
      </c>
      <c r="E22" s="18"/>
      <c r="F22" s="19">
        <v>741714</v>
      </c>
      <c r="G22" s="19"/>
      <c r="H22" s="19"/>
      <c r="I22" s="20" t="s">
        <v>49</v>
      </c>
      <c r="J22" s="20" t="s">
        <v>102</v>
      </c>
      <c r="K22" s="20" t="s">
        <v>51</v>
      </c>
      <c r="L22" s="20" t="s">
        <v>52</v>
      </c>
      <c r="M22" s="20" t="s">
        <v>103</v>
      </c>
      <c r="N22" s="21">
        <v>1</v>
      </c>
      <c r="O22" s="29">
        <f>IF(A22="Boutique",Premissas!$B$6,Premissas!$B$7)</f>
        <v>4</v>
      </c>
      <c r="P22" s="29">
        <f>IF(A22="Boutique",Premissas!$B$8,Premissas!$B$9)</f>
        <v>6</v>
      </c>
      <c r="Q22" s="29">
        <f>(Premissas!$B$12*O22+Premissas!$B$13*P22)</f>
        <v>32</v>
      </c>
      <c r="R22" s="15" t="s">
        <v>87</v>
      </c>
      <c r="S22" s="15" t="s">
        <v>88</v>
      </c>
      <c r="T22" s="29">
        <f>Q22/Premissas!$B$5</f>
        <v>6.4</v>
      </c>
      <c r="U22" s="29">
        <f>ROUNDUP(T22/(1-Premissas!$B$10),0)</f>
        <v>9</v>
      </c>
      <c r="V22" s="29">
        <f>MAX(Premissas!$B$11,IF(D22="",Premissas!$B$11,D22))</f>
        <v>3</v>
      </c>
      <c r="W22" s="29">
        <f t="shared" si="2"/>
        <v>9</v>
      </c>
      <c r="X22" s="29">
        <f t="shared" si="0"/>
        <v>-1</v>
      </c>
      <c r="Y22" s="22">
        <f t="shared" si="1"/>
        <v>74171.399999999994</v>
      </c>
      <c r="Z22" s="22">
        <f t="shared" si="3"/>
        <v>82412.666666666672</v>
      </c>
      <c r="AA22" s="16" t="s">
        <v>56</v>
      </c>
      <c r="AB22" s="15" t="s">
        <v>80</v>
      </c>
      <c r="AC22" s="16" t="s">
        <v>58</v>
      </c>
    </row>
    <row r="23" spans="1:29" ht="51.95">
      <c r="A23" s="15" t="s">
        <v>85</v>
      </c>
      <c r="B23" s="16" t="s">
        <v>104</v>
      </c>
      <c r="C23" s="17">
        <v>9</v>
      </c>
      <c r="D23" s="18">
        <v>3</v>
      </c>
      <c r="E23" s="18"/>
      <c r="F23" s="19">
        <v>598923</v>
      </c>
      <c r="G23" s="19"/>
      <c r="H23" s="19"/>
      <c r="I23" s="20" t="s">
        <v>90</v>
      </c>
      <c r="J23" s="20" t="s">
        <v>77</v>
      </c>
      <c r="K23" s="20" t="s">
        <v>51</v>
      </c>
      <c r="L23" s="20" t="s">
        <v>91</v>
      </c>
      <c r="M23" s="20" t="s">
        <v>79</v>
      </c>
      <c r="N23" s="21">
        <v>1</v>
      </c>
      <c r="O23" s="29">
        <f>IF(A23="Boutique",Premissas!$B$6,Premissas!$B$7)</f>
        <v>4</v>
      </c>
      <c r="P23" s="29">
        <f>IF(A23="Boutique",Premissas!$B$8,Premissas!$B$9)</f>
        <v>6</v>
      </c>
      <c r="Q23" s="29">
        <f>(Premissas!$B$12*O23+Premissas!$B$13*P23)</f>
        <v>32</v>
      </c>
      <c r="R23" s="15" t="s">
        <v>87</v>
      </c>
      <c r="S23" s="15" t="s">
        <v>88</v>
      </c>
      <c r="T23" s="29">
        <f>Q23/Premissas!$B$5</f>
        <v>6.4</v>
      </c>
      <c r="U23" s="29">
        <f>ROUNDUP(T23/(1-Premissas!$B$10),0)</f>
        <v>9</v>
      </c>
      <c r="V23" s="29">
        <f>MAX(Premissas!$B$11,IF(D23="",Premissas!$B$11,D23))</f>
        <v>3</v>
      </c>
      <c r="W23" s="29">
        <f t="shared" si="2"/>
        <v>9</v>
      </c>
      <c r="X23" s="29">
        <f t="shared" si="0"/>
        <v>0</v>
      </c>
      <c r="Y23" s="22">
        <f t="shared" si="1"/>
        <v>66547</v>
      </c>
      <c r="Z23" s="22">
        <f t="shared" si="3"/>
        <v>66547</v>
      </c>
      <c r="AA23" s="16" t="s">
        <v>56</v>
      </c>
      <c r="AB23" s="15" t="s">
        <v>57</v>
      </c>
      <c r="AC23" s="16" t="s">
        <v>58</v>
      </c>
    </row>
    <row r="24" spans="1:29" ht="51.95">
      <c r="A24" s="15" t="s">
        <v>85</v>
      </c>
      <c r="B24" s="16" t="s">
        <v>105</v>
      </c>
      <c r="C24" s="17">
        <v>6</v>
      </c>
      <c r="D24" s="18">
        <v>3</v>
      </c>
      <c r="E24" s="18"/>
      <c r="F24" s="19">
        <v>595165</v>
      </c>
      <c r="G24" s="19"/>
      <c r="H24" s="19"/>
      <c r="I24" s="20" t="s">
        <v>71</v>
      </c>
      <c r="J24" s="20" t="s">
        <v>66</v>
      </c>
      <c r="K24" s="20" t="s">
        <v>51</v>
      </c>
      <c r="L24" s="20" t="s">
        <v>73</v>
      </c>
      <c r="M24" s="20" t="s">
        <v>67</v>
      </c>
      <c r="N24" s="21">
        <v>1</v>
      </c>
      <c r="O24" s="29">
        <f>IF(A24="Boutique",Premissas!$B$6,Premissas!$B$7)</f>
        <v>4</v>
      </c>
      <c r="P24" s="29">
        <f>IF(A24="Boutique",Premissas!$B$8,Premissas!$B$9)</f>
        <v>6</v>
      </c>
      <c r="Q24" s="29">
        <f>(Premissas!$B$12*O24+Premissas!$B$13*P24)</f>
        <v>32</v>
      </c>
      <c r="R24" s="15" t="s">
        <v>87</v>
      </c>
      <c r="S24" s="15" t="s">
        <v>88</v>
      </c>
      <c r="T24" s="29">
        <f>Q24/Premissas!$B$5</f>
        <v>6.4</v>
      </c>
      <c r="U24" s="29">
        <f>ROUNDUP(T24/(1-Premissas!$B$10),0)</f>
        <v>9</v>
      </c>
      <c r="V24" s="29">
        <f>MAX(Premissas!$B$11,IF(D24="",Premissas!$B$11,D24))</f>
        <v>3</v>
      </c>
      <c r="W24" s="29">
        <f t="shared" si="2"/>
        <v>9</v>
      </c>
      <c r="X24" s="29">
        <f t="shared" si="0"/>
        <v>3</v>
      </c>
      <c r="Y24" s="22">
        <f t="shared" si="1"/>
        <v>99194.166666666672</v>
      </c>
      <c r="Z24" s="22">
        <f t="shared" si="3"/>
        <v>66129.444444444438</v>
      </c>
      <c r="AA24" s="16" t="s">
        <v>56</v>
      </c>
      <c r="AB24" s="15" t="s">
        <v>57</v>
      </c>
      <c r="AC24" s="16" t="s">
        <v>58</v>
      </c>
    </row>
    <row r="25" spans="1:29" ht="51.95">
      <c r="A25" s="15" t="s">
        <v>85</v>
      </c>
      <c r="B25" s="16" t="s">
        <v>106</v>
      </c>
      <c r="C25" s="17">
        <v>6</v>
      </c>
      <c r="D25" s="18">
        <v>3</v>
      </c>
      <c r="E25" s="18"/>
      <c r="F25" s="19">
        <v>559088</v>
      </c>
      <c r="G25" s="19"/>
      <c r="H25" s="19"/>
      <c r="I25" s="20" t="s">
        <v>90</v>
      </c>
      <c r="J25" s="20" t="s">
        <v>97</v>
      </c>
      <c r="K25" s="20" t="s">
        <v>51</v>
      </c>
      <c r="L25" s="20" t="s">
        <v>91</v>
      </c>
      <c r="M25" s="20" t="s">
        <v>98</v>
      </c>
      <c r="N25" s="21">
        <v>1</v>
      </c>
      <c r="O25" s="29">
        <f>IF(A25="Boutique",Premissas!$B$6,Premissas!$B$7)</f>
        <v>4</v>
      </c>
      <c r="P25" s="29">
        <f>IF(A25="Boutique",Premissas!$B$8,Premissas!$B$9)</f>
        <v>6</v>
      </c>
      <c r="Q25" s="29">
        <f>(Premissas!$B$12*O25+Premissas!$B$13*P25)</f>
        <v>32</v>
      </c>
      <c r="R25" s="15" t="s">
        <v>87</v>
      </c>
      <c r="S25" s="15" t="s">
        <v>88</v>
      </c>
      <c r="T25" s="29">
        <f>Q25/Premissas!$B$5</f>
        <v>6.4</v>
      </c>
      <c r="U25" s="29">
        <f>ROUNDUP(T25/(1-Premissas!$B$10),0)</f>
        <v>9</v>
      </c>
      <c r="V25" s="29">
        <f>MAX(Premissas!$B$11,IF(D25="",Premissas!$B$11,D25))</f>
        <v>3</v>
      </c>
      <c r="W25" s="29">
        <f t="shared" si="2"/>
        <v>9</v>
      </c>
      <c r="X25" s="29">
        <f t="shared" si="0"/>
        <v>3</v>
      </c>
      <c r="Y25" s="22">
        <f t="shared" si="1"/>
        <v>93181.333333333328</v>
      </c>
      <c r="Z25" s="22">
        <f t="shared" si="3"/>
        <v>62120.888888888891</v>
      </c>
      <c r="AA25" s="16" t="s">
        <v>56</v>
      </c>
      <c r="AB25" s="15" t="s">
        <v>57</v>
      </c>
      <c r="AC25" s="16" t="s">
        <v>58</v>
      </c>
    </row>
    <row r="26" spans="1:29" ht="51.95">
      <c r="A26" s="15" t="s">
        <v>85</v>
      </c>
      <c r="B26" s="16" t="s">
        <v>107</v>
      </c>
      <c r="C26" s="17">
        <v>9</v>
      </c>
      <c r="D26" s="18">
        <v>3</v>
      </c>
      <c r="E26" s="18"/>
      <c r="F26" s="19">
        <v>649925</v>
      </c>
      <c r="G26" s="19"/>
      <c r="H26" s="19"/>
      <c r="I26" s="20" t="s">
        <v>108</v>
      </c>
      <c r="J26" s="20" t="s">
        <v>83</v>
      </c>
      <c r="K26" s="20" t="s">
        <v>51</v>
      </c>
      <c r="L26" s="20" t="s">
        <v>109</v>
      </c>
      <c r="M26" s="20" t="s">
        <v>84</v>
      </c>
      <c r="N26" s="21">
        <v>1</v>
      </c>
      <c r="O26" s="29">
        <f>IF(A26="Boutique",Premissas!$B$6,Premissas!$B$7)</f>
        <v>4</v>
      </c>
      <c r="P26" s="29">
        <f>IF(A26="Boutique",Premissas!$B$8,Premissas!$B$9)</f>
        <v>6</v>
      </c>
      <c r="Q26" s="29">
        <f>(Premissas!$B$12*O26+Premissas!$B$13*P26)</f>
        <v>32</v>
      </c>
      <c r="R26" s="15" t="s">
        <v>87</v>
      </c>
      <c r="S26" s="15" t="s">
        <v>88</v>
      </c>
      <c r="T26" s="29">
        <f>Q26/Premissas!$B$5</f>
        <v>6.4</v>
      </c>
      <c r="U26" s="29">
        <f>ROUNDUP(T26/(1-Premissas!$B$10),0)</f>
        <v>9</v>
      </c>
      <c r="V26" s="29">
        <f>MAX(Premissas!$B$11,IF(D26="",Premissas!$B$11,D26))</f>
        <v>3</v>
      </c>
      <c r="W26" s="29">
        <f t="shared" si="2"/>
        <v>9</v>
      </c>
      <c r="X26" s="29">
        <f t="shared" si="0"/>
        <v>0</v>
      </c>
      <c r="Y26" s="22">
        <f t="shared" si="1"/>
        <v>72213.888888888891</v>
      </c>
      <c r="Z26" s="22">
        <f t="shared" si="3"/>
        <v>72213.888888888891</v>
      </c>
      <c r="AA26" s="16" t="s">
        <v>56</v>
      </c>
      <c r="AB26" s="15" t="s">
        <v>57</v>
      </c>
      <c r="AC26" s="16" t="s">
        <v>58</v>
      </c>
    </row>
    <row r="27" spans="1:29" ht="51.95">
      <c r="A27" s="15" t="s">
        <v>85</v>
      </c>
      <c r="B27" s="16" t="s">
        <v>110</v>
      </c>
      <c r="C27" s="17">
        <v>16</v>
      </c>
      <c r="D27" s="18">
        <v>3</v>
      </c>
      <c r="E27" s="18"/>
      <c r="F27" s="19">
        <v>1317890</v>
      </c>
      <c r="G27" s="19"/>
      <c r="H27" s="19"/>
      <c r="I27" s="20" t="s">
        <v>90</v>
      </c>
      <c r="J27" s="20" t="s">
        <v>77</v>
      </c>
      <c r="K27" s="20" t="s">
        <v>51</v>
      </c>
      <c r="L27" s="20" t="s">
        <v>91</v>
      </c>
      <c r="M27" s="20" t="s">
        <v>79</v>
      </c>
      <c r="N27" s="21">
        <v>1</v>
      </c>
      <c r="O27" s="29">
        <f>IF(A27="Boutique",Premissas!$B$6,Premissas!$B$7)</f>
        <v>4</v>
      </c>
      <c r="P27" s="29">
        <f>IF(A27="Boutique",Premissas!$B$8,Premissas!$B$9)</f>
        <v>6</v>
      </c>
      <c r="Q27" s="29">
        <f>(Premissas!$B$12*O27+Premissas!$B$13*P27)</f>
        <v>32</v>
      </c>
      <c r="R27" s="15" t="s">
        <v>87</v>
      </c>
      <c r="S27" s="15" t="s">
        <v>88</v>
      </c>
      <c r="T27" s="29">
        <f>Q27/Premissas!$B$5</f>
        <v>6.4</v>
      </c>
      <c r="U27" s="29">
        <f>ROUNDUP(T27/(1-Premissas!$B$10),0)</f>
        <v>9</v>
      </c>
      <c r="V27" s="29">
        <f>MAX(Premissas!$B$11,IF(D27="",Premissas!$B$11,D27))</f>
        <v>3</v>
      </c>
      <c r="W27" s="29">
        <f t="shared" si="2"/>
        <v>9</v>
      </c>
      <c r="X27" s="29">
        <f t="shared" si="0"/>
        <v>-7</v>
      </c>
      <c r="Y27" s="22">
        <f t="shared" si="1"/>
        <v>82368.125</v>
      </c>
      <c r="Z27" s="22">
        <f t="shared" si="3"/>
        <v>146432.22222222222</v>
      </c>
      <c r="AA27" s="16" t="s">
        <v>56</v>
      </c>
      <c r="AB27" s="15" t="s">
        <v>57</v>
      </c>
      <c r="AC27" s="16" t="s">
        <v>58</v>
      </c>
    </row>
    <row r="28" spans="1:29" ht="51.95">
      <c r="A28" s="15" t="s">
        <v>85</v>
      </c>
      <c r="B28" s="16" t="s">
        <v>111</v>
      </c>
      <c r="C28" s="17">
        <v>11</v>
      </c>
      <c r="D28" s="18">
        <v>3</v>
      </c>
      <c r="E28" s="18"/>
      <c r="F28" s="19">
        <v>767612</v>
      </c>
      <c r="G28" s="19"/>
      <c r="H28" s="19"/>
      <c r="I28" s="20" t="s">
        <v>90</v>
      </c>
      <c r="J28" s="20" t="s">
        <v>77</v>
      </c>
      <c r="K28" s="20" t="s">
        <v>51</v>
      </c>
      <c r="L28" s="20" t="s">
        <v>91</v>
      </c>
      <c r="M28" s="20" t="s">
        <v>79</v>
      </c>
      <c r="N28" s="21">
        <v>1</v>
      </c>
      <c r="O28" s="29">
        <f>IF(A28="Boutique",Premissas!$B$6,Premissas!$B$7)</f>
        <v>4</v>
      </c>
      <c r="P28" s="29">
        <f>IF(A28="Boutique",Premissas!$B$8,Premissas!$B$9)</f>
        <v>6</v>
      </c>
      <c r="Q28" s="29">
        <f>(Premissas!$B$12*O28+Premissas!$B$13*P28)</f>
        <v>32</v>
      </c>
      <c r="R28" s="15" t="s">
        <v>87</v>
      </c>
      <c r="S28" s="15" t="s">
        <v>88</v>
      </c>
      <c r="T28" s="29">
        <f>Q28/Premissas!$B$5</f>
        <v>6.4</v>
      </c>
      <c r="U28" s="29">
        <f>ROUNDUP(T28/(1-Premissas!$B$10),0)</f>
        <v>9</v>
      </c>
      <c r="V28" s="29">
        <f>MAX(Premissas!$B$11,IF(D28="",Premissas!$B$11,D28))</f>
        <v>3</v>
      </c>
      <c r="W28" s="29">
        <f t="shared" si="2"/>
        <v>9</v>
      </c>
      <c r="X28" s="29">
        <f t="shared" si="0"/>
        <v>-2</v>
      </c>
      <c r="Y28" s="22">
        <f t="shared" si="1"/>
        <v>69782.909090909088</v>
      </c>
      <c r="Z28" s="22">
        <f t="shared" si="3"/>
        <v>85290.222222222219</v>
      </c>
      <c r="AA28" s="16" t="s">
        <v>56</v>
      </c>
      <c r="AB28" s="15" t="s">
        <v>57</v>
      </c>
      <c r="AC28" s="16" t="s">
        <v>58</v>
      </c>
    </row>
    <row r="29" spans="1:29" ht="51.95">
      <c r="A29" s="15" t="s">
        <v>85</v>
      </c>
      <c r="B29" s="16" t="s">
        <v>112</v>
      </c>
      <c r="C29" s="17">
        <v>9</v>
      </c>
      <c r="D29" s="18">
        <v>3</v>
      </c>
      <c r="E29" s="18"/>
      <c r="F29" s="19">
        <v>600416</v>
      </c>
      <c r="G29" s="19"/>
      <c r="H29" s="19"/>
      <c r="I29" s="20" t="s">
        <v>90</v>
      </c>
      <c r="J29" s="20" t="s">
        <v>77</v>
      </c>
      <c r="K29" s="20" t="s">
        <v>51</v>
      </c>
      <c r="L29" s="20" t="s">
        <v>91</v>
      </c>
      <c r="M29" s="20" t="s">
        <v>79</v>
      </c>
      <c r="N29" s="21">
        <v>1</v>
      </c>
      <c r="O29" s="29">
        <f>IF(A29="Boutique",Premissas!$B$6,Premissas!$B$7)</f>
        <v>4</v>
      </c>
      <c r="P29" s="29">
        <f>IF(A29="Boutique",Premissas!$B$8,Premissas!$B$9)</f>
        <v>6</v>
      </c>
      <c r="Q29" s="29">
        <f>(Premissas!$B$12*O29+Premissas!$B$13*P29)</f>
        <v>32</v>
      </c>
      <c r="R29" s="15" t="s">
        <v>87</v>
      </c>
      <c r="S29" s="15" t="s">
        <v>88</v>
      </c>
      <c r="T29" s="29">
        <f>Q29/Premissas!$B$5</f>
        <v>6.4</v>
      </c>
      <c r="U29" s="29">
        <f>ROUNDUP(T29/(1-Premissas!$B$10),0)</f>
        <v>9</v>
      </c>
      <c r="V29" s="29">
        <f>MAX(Premissas!$B$11,IF(D29="",Premissas!$B$11,D29))</f>
        <v>3</v>
      </c>
      <c r="W29" s="29">
        <f t="shared" si="2"/>
        <v>9</v>
      </c>
      <c r="X29" s="29">
        <f t="shared" si="0"/>
        <v>0</v>
      </c>
      <c r="Y29" s="22">
        <f t="shared" si="1"/>
        <v>66712.888888888891</v>
      </c>
      <c r="Z29" s="22">
        <f t="shared" si="3"/>
        <v>66712.888888888891</v>
      </c>
      <c r="AA29" s="16" t="s">
        <v>56</v>
      </c>
      <c r="AB29" s="15" t="s">
        <v>57</v>
      </c>
      <c r="AC29" s="16" t="s">
        <v>58</v>
      </c>
    </row>
    <row r="30" spans="1:29" ht="51.95">
      <c r="A30" s="15" t="s">
        <v>85</v>
      </c>
      <c r="B30" s="16" t="s">
        <v>113</v>
      </c>
      <c r="C30" s="17">
        <v>11</v>
      </c>
      <c r="D30" s="18">
        <v>3</v>
      </c>
      <c r="E30" s="18"/>
      <c r="F30" s="19">
        <v>677798</v>
      </c>
      <c r="G30" s="19"/>
      <c r="H30" s="19"/>
      <c r="I30" s="20" t="s">
        <v>90</v>
      </c>
      <c r="J30" s="20" t="s">
        <v>77</v>
      </c>
      <c r="K30" s="20" t="s">
        <v>51</v>
      </c>
      <c r="L30" s="20" t="s">
        <v>91</v>
      </c>
      <c r="M30" s="20" t="s">
        <v>79</v>
      </c>
      <c r="N30" s="21">
        <v>1</v>
      </c>
      <c r="O30" s="29">
        <f>IF(A30="Boutique",Premissas!$B$6,Premissas!$B$7)</f>
        <v>4</v>
      </c>
      <c r="P30" s="29">
        <f>IF(A30="Boutique",Premissas!$B$8,Premissas!$B$9)</f>
        <v>6</v>
      </c>
      <c r="Q30" s="29">
        <f>(Premissas!$B$12*O30+Premissas!$B$13*P30)</f>
        <v>32</v>
      </c>
      <c r="R30" s="15" t="s">
        <v>87</v>
      </c>
      <c r="S30" s="15" t="s">
        <v>88</v>
      </c>
      <c r="T30" s="29">
        <f>Q30/Premissas!$B$5</f>
        <v>6.4</v>
      </c>
      <c r="U30" s="29">
        <f>ROUNDUP(T30/(1-Premissas!$B$10),0)</f>
        <v>9</v>
      </c>
      <c r="V30" s="29">
        <f>MAX(Premissas!$B$11,IF(D30="",Premissas!$B$11,D30))</f>
        <v>3</v>
      </c>
      <c r="W30" s="29">
        <f t="shared" si="2"/>
        <v>9</v>
      </c>
      <c r="X30" s="29">
        <f t="shared" si="0"/>
        <v>-2</v>
      </c>
      <c r="Y30" s="22">
        <f t="shared" si="1"/>
        <v>61618</v>
      </c>
      <c r="Z30" s="22">
        <f t="shared" si="3"/>
        <v>75310.888888888891</v>
      </c>
      <c r="AA30" s="16" t="s">
        <v>56</v>
      </c>
      <c r="AB30" s="15" t="s">
        <v>57</v>
      </c>
      <c r="AC30" s="16" t="s">
        <v>58</v>
      </c>
    </row>
    <row r="31" spans="1:29" ht="52.5" thickBot="1">
      <c r="A31" s="15" t="s">
        <v>85</v>
      </c>
      <c r="B31" s="16" t="s">
        <v>114</v>
      </c>
      <c r="C31" s="17">
        <v>11</v>
      </c>
      <c r="D31" s="18">
        <v>3</v>
      </c>
      <c r="E31" s="18"/>
      <c r="F31" s="19">
        <v>825133</v>
      </c>
      <c r="G31" s="19"/>
      <c r="H31" s="19"/>
      <c r="I31" s="20" t="s">
        <v>90</v>
      </c>
      <c r="J31" s="20" t="s">
        <v>77</v>
      </c>
      <c r="K31" s="20" t="s">
        <v>51</v>
      </c>
      <c r="L31" s="20" t="s">
        <v>91</v>
      </c>
      <c r="M31" s="20" t="s">
        <v>79</v>
      </c>
      <c r="N31" s="21">
        <v>1</v>
      </c>
      <c r="O31" s="29">
        <f>IF(A31="Boutique",Premissas!$B$6,Premissas!$B$7)</f>
        <v>4</v>
      </c>
      <c r="P31" s="29">
        <f>IF(A31="Boutique",Premissas!$B$8,Premissas!$B$9)</f>
        <v>6</v>
      </c>
      <c r="Q31" s="29">
        <f>(Premissas!$B$12*O31+Premissas!$B$13*P31)</f>
        <v>32</v>
      </c>
      <c r="R31" s="15" t="s">
        <v>87</v>
      </c>
      <c r="S31" s="15" t="s">
        <v>88</v>
      </c>
      <c r="T31" s="29">
        <f>Q31/Premissas!$B$5</f>
        <v>6.4</v>
      </c>
      <c r="U31" s="29">
        <f>ROUNDUP(T31/(1-Premissas!$B$10),0)</f>
        <v>9</v>
      </c>
      <c r="V31" s="29">
        <f>MAX(Premissas!$B$11,IF(D31="",Premissas!$B$11,D31))</f>
        <v>3</v>
      </c>
      <c r="W31" s="29">
        <f t="shared" si="2"/>
        <v>9</v>
      </c>
      <c r="X31" s="29">
        <f t="shared" si="0"/>
        <v>-2</v>
      </c>
      <c r="Y31" s="22">
        <f t="shared" si="1"/>
        <v>75012.090909090912</v>
      </c>
      <c r="Z31" s="22">
        <f t="shared" si="3"/>
        <v>91681.444444444438</v>
      </c>
      <c r="AA31" s="16" t="s">
        <v>56</v>
      </c>
      <c r="AB31" s="15" t="s">
        <v>57</v>
      </c>
      <c r="AC31" s="16" t="s">
        <v>58</v>
      </c>
    </row>
    <row r="32" spans="1:29">
      <c r="A32" s="23"/>
      <c r="B32" s="23" t="s">
        <v>115</v>
      </c>
      <c r="C32" s="24">
        <f>SUM(C2:C31)</f>
        <v>292</v>
      </c>
      <c r="D32" s="25">
        <f>SUM(D2:D31)</f>
        <v>90</v>
      </c>
      <c r="E32" s="25"/>
      <c r="F32" s="26">
        <f>SUM(F2:F31)</f>
        <v>22110779</v>
      </c>
      <c r="G32" s="26"/>
      <c r="H32" s="26"/>
      <c r="I32" s="23"/>
      <c r="J32" s="23"/>
      <c r="K32" s="23"/>
      <c r="L32" s="23"/>
      <c r="M32" s="23"/>
      <c r="N32" s="24"/>
      <c r="O32" s="24"/>
      <c r="P32" s="24"/>
      <c r="Q32" s="24"/>
      <c r="R32" s="23"/>
      <c r="S32" s="23"/>
      <c r="T32" s="24"/>
      <c r="U32" s="24"/>
      <c r="V32" s="24"/>
      <c r="W32" s="24">
        <f>SUM(W2:W31)</f>
        <v>269</v>
      </c>
      <c r="X32" s="24">
        <f>SUM(X2:X31)</f>
        <v>-23</v>
      </c>
      <c r="Y32" s="23" t="s">
        <v>116</v>
      </c>
      <c r="Z32" s="23" t="s">
        <v>116</v>
      </c>
      <c r="AA32" s="30"/>
      <c r="AB32" s="23"/>
      <c r="AC32" s="30"/>
    </row>
  </sheetData>
  <autoFilter ref="A1:AC32" xr:uid="{00000000-0001-0000-0000-000000000000}"/>
  <conditionalFormatting sqref="X2:X31">
    <cfRule type="cellIs" dxfId="1" priority="1" operator="greaterThan">
      <formula>0</formula>
    </cfRule>
    <cfRule type="cellIs" dxfId="0" priority="2" operator="lessThanOrEqual">
      <formula>0</formula>
    </cfRule>
  </conditionalFormatting>
  <dataValidations count="1">
    <dataValidation type="whole" operator="greaterThanOrEqual" errorTitle="Valor inválido" error="Informe pelo menos 1 unidade de cobertura." sqref="N2:N31" xr:uid="{00000000-0002-0000-0000-000000000000}">
      <formula1>1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showGridLines="0" workbookViewId="0">
      <pane ySplit="3" topLeftCell="A4" activePane="bottomLeft" state="frozen"/>
      <selection pane="bottomLeft" activeCell="B7" sqref="B7"/>
    </sheetView>
  </sheetViews>
  <sheetFormatPr defaultRowHeight="14.45"/>
  <cols>
    <col min="1" max="1" width="38" customWidth="1"/>
    <col min="2" max="2" width="20" customWidth="1"/>
    <col min="3" max="3" width="78" customWidth="1"/>
    <col min="4" max="4" width="18" customWidth="1"/>
  </cols>
  <sheetData>
    <row r="1" spans="1:4" ht="21">
      <c r="A1" s="38" t="s">
        <v>117</v>
      </c>
      <c r="B1" s="39"/>
      <c r="C1" s="39"/>
      <c r="D1" s="39"/>
    </row>
    <row r="3" spans="1:4">
      <c r="A3" s="1" t="s">
        <v>118</v>
      </c>
      <c r="B3" s="1" t="s">
        <v>2</v>
      </c>
      <c r="C3" s="1" t="s">
        <v>119</v>
      </c>
      <c r="D3" s="1"/>
    </row>
    <row r="4" spans="1:4">
      <c r="A4" s="2" t="s">
        <v>120</v>
      </c>
      <c r="B4" s="3">
        <v>42</v>
      </c>
      <c r="C4" s="2" t="s">
        <v>121</v>
      </c>
    </row>
    <row r="5" spans="1:4">
      <c r="A5" s="2" t="s">
        <v>122</v>
      </c>
      <c r="B5" s="3">
        <v>5</v>
      </c>
      <c r="C5" s="2" t="s">
        <v>123</v>
      </c>
    </row>
    <row r="6" spans="1:4" ht="29.1">
      <c r="A6" s="2" t="s">
        <v>124</v>
      </c>
      <c r="B6" s="3">
        <v>4</v>
      </c>
      <c r="C6" s="2" t="s">
        <v>125</v>
      </c>
    </row>
    <row r="7" spans="1:4" ht="29.1">
      <c r="A7" s="2" t="s">
        <v>126</v>
      </c>
      <c r="B7" s="3">
        <v>4</v>
      </c>
      <c r="C7" s="2" t="s">
        <v>125</v>
      </c>
    </row>
    <row r="8" spans="1:4" ht="29.1">
      <c r="A8" s="2" t="s">
        <v>127</v>
      </c>
      <c r="B8" s="3">
        <v>6</v>
      </c>
      <c r="C8" s="2" t="s">
        <v>128</v>
      </c>
    </row>
    <row r="9" spans="1:4" ht="29.1">
      <c r="A9" s="2" t="s">
        <v>129</v>
      </c>
      <c r="B9" s="3">
        <v>6</v>
      </c>
      <c r="C9" s="2" t="s">
        <v>128</v>
      </c>
    </row>
    <row r="10" spans="1:4">
      <c r="A10" s="2" t="s">
        <v>130</v>
      </c>
      <c r="B10" s="3">
        <v>0.25</v>
      </c>
      <c r="C10" s="2" t="s">
        <v>131</v>
      </c>
    </row>
    <row r="11" spans="1:4">
      <c r="A11" s="2" t="s">
        <v>132</v>
      </c>
      <c r="B11" s="3">
        <v>3</v>
      </c>
      <c r="C11" s="2" t="s">
        <v>133</v>
      </c>
    </row>
    <row r="12" spans="1:4">
      <c r="A12" s="2" t="s">
        <v>134</v>
      </c>
      <c r="B12" s="3">
        <v>5</v>
      </c>
      <c r="C12" s="2" t="s">
        <v>135</v>
      </c>
    </row>
    <row r="13" spans="1:4">
      <c r="A13" s="2" t="s">
        <v>136</v>
      </c>
      <c r="B13" s="3">
        <v>2</v>
      </c>
      <c r="C13" s="2" t="s">
        <v>137</v>
      </c>
    </row>
    <row r="14" spans="1:4">
      <c r="A14" s="2" t="s">
        <v>138</v>
      </c>
      <c r="B14" s="4"/>
      <c r="C14" s="2" t="s">
        <v>139</v>
      </c>
    </row>
    <row r="17" spans="1:4">
      <c r="A17" s="5" t="s">
        <v>140</v>
      </c>
    </row>
    <row r="18" spans="1:4">
      <c r="A18" s="37" t="s">
        <v>141</v>
      </c>
      <c r="B18" s="39"/>
      <c r="C18" s="39"/>
      <c r="D18" s="39"/>
    </row>
    <row r="19" spans="1:4">
      <c r="A19" s="39"/>
      <c r="B19" s="39"/>
      <c r="C19" s="39"/>
      <c r="D19" s="39"/>
    </row>
    <row r="20" spans="1:4">
      <c r="A20" s="39"/>
      <c r="B20" s="39"/>
      <c r="C20" s="39"/>
      <c r="D20" s="39"/>
    </row>
    <row r="21" spans="1:4">
      <c r="A21" t="s">
        <v>142</v>
      </c>
    </row>
    <row r="22" spans="1:4">
      <c r="A22" t="s">
        <v>143</v>
      </c>
    </row>
    <row r="23" spans="1:4">
      <c r="A23" t="s">
        <v>144</v>
      </c>
    </row>
    <row r="24" spans="1:4">
      <c r="A24" t="s">
        <v>145</v>
      </c>
    </row>
    <row r="25" spans="1:4">
      <c r="A25" t="s">
        <v>146</v>
      </c>
    </row>
    <row r="26" spans="1:4">
      <c r="A26" t="s">
        <v>147</v>
      </c>
    </row>
  </sheetData>
  <mergeCells count="2">
    <mergeCell ref="A1:D1"/>
    <mergeCell ref="A18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797F-60A0-4F73-98AB-1DF95FF0E19D}">
  <dimension ref="A1:H151"/>
  <sheetViews>
    <sheetView showGridLines="0" workbookViewId="0">
      <pane ySplit="1" topLeftCell="A2" activePane="bottomLeft" state="frozen"/>
      <selection pane="bottomLeft" activeCell="C6" sqref="C6"/>
    </sheetView>
  </sheetViews>
  <sheetFormatPr defaultRowHeight="14.45"/>
  <cols>
    <col min="1" max="1" width="13" customWidth="1"/>
    <col min="2" max="2" width="27" customWidth="1"/>
    <col min="3" max="3" width="23" customWidth="1"/>
    <col min="4" max="4" width="20" customWidth="1"/>
    <col min="5" max="5" width="25" customWidth="1"/>
    <col min="6" max="6" width="20" customWidth="1"/>
    <col min="7" max="7" width="34" customWidth="1"/>
    <col min="8" max="8" width="75" customWidth="1"/>
  </cols>
  <sheetData>
    <row r="1" spans="1:8" ht="39.950000000000003" customHeight="1">
      <c r="A1" s="10" t="s">
        <v>20</v>
      </c>
      <c r="B1" s="10" t="s">
        <v>21</v>
      </c>
      <c r="C1" s="10" t="s">
        <v>148</v>
      </c>
      <c r="D1" s="10" t="s">
        <v>149</v>
      </c>
      <c r="E1" s="10" t="s">
        <v>150</v>
      </c>
      <c r="F1" s="10" t="s">
        <v>151</v>
      </c>
      <c r="G1" s="10" t="s">
        <v>152</v>
      </c>
      <c r="H1" s="10" t="s">
        <v>153</v>
      </c>
    </row>
    <row r="2" spans="1:8">
      <c r="A2" s="2" t="s">
        <v>47</v>
      </c>
      <c r="B2" s="2" t="s">
        <v>48</v>
      </c>
      <c r="C2" s="2" t="s">
        <v>154</v>
      </c>
      <c r="D2" s="2" t="s">
        <v>27</v>
      </c>
      <c r="E2" s="2" t="s">
        <v>52</v>
      </c>
      <c r="F2" s="2">
        <v>3</v>
      </c>
      <c r="G2" s="2" t="s">
        <v>155</v>
      </c>
      <c r="H2" s="2" t="s">
        <v>156</v>
      </c>
    </row>
    <row r="3" spans="1:8" ht="29.1">
      <c r="A3" s="2" t="s">
        <v>47</v>
      </c>
      <c r="B3" s="2" t="s">
        <v>48</v>
      </c>
      <c r="C3" s="2" t="s">
        <v>154</v>
      </c>
      <c r="D3" s="2" t="s">
        <v>28</v>
      </c>
      <c r="E3" s="2" t="s">
        <v>53</v>
      </c>
      <c r="F3" s="2">
        <v>3</v>
      </c>
      <c r="G3" s="2" t="s">
        <v>155</v>
      </c>
      <c r="H3" s="2" t="s">
        <v>157</v>
      </c>
    </row>
    <row r="4" spans="1:8">
      <c r="A4" s="2" t="s">
        <v>47</v>
      </c>
      <c r="B4" s="2" t="s">
        <v>48</v>
      </c>
      <c r="C4" s="2" t="s">
        <v>158</v>
      </c>
      <c r="D4" s="2" t="s">
        <v>27</v>
      </c>
      <c r="E4" s="2" t="s">
        <v>52</v>
      </c>
      <c r="F4" s="2">
        <v>5</v>
      </c>
      <c r="G4" s="2" t="s">
        <v>159</v>
      </c>
      <c r="H4" s="2" t="s">
        <v>156</v>
      </c>
    </row>
    <row r="5" spans="1:8" ht="29.1">
      <c r="A5" s="2" t="s">
        <v>47</v>
      </c>
      <c r="B5" s="2" t="s">
        <v>48</v>
      </c>
      <c r="C5" s="2" t="s">
        <v>158</v>
      </c>
      <c r="D5" s="2" t="s">
        <v>28</v>
      </c>
      <c r="E5" s="2" t="s">
        <v>53</v>
      </c>
      <c r="F5" s="2">
        <v>5</v>
      </c>
      <c r="G5" s="2" t="s">
        <v>159</v>
      </c>
      <c r="H5" s="2" t="s">
        <v>157</v>
      </c>
    </row>
    <row r="6" spans="1:8" ht="29.1">
      <c r="A6" s="2" t="s">
        <v>47</v>
      </c>
      <c r="B6" s="2" t="s">
        <v>48</v>
      </c>
      <c r="C6" s="2" t="s">
        <v>160</v>
      </c>
      <c r="D6" s="2" t="s">
        <v>161</v>
      </c>
      <c r="E6" s="2" t="s">
        <v>63</v>
      </c>
      <c r="F6" s="2">
        <v>1</v>
      </c>
      <c r="G6" s="2" t="s">
        <v>162</v>
      </c>
      <c r="H6" s="2" t="s">
        <v>163</v>
      </c>
    </row>
    <row r="7" spans="1:8">
      <c r="A7" s="2" t="s">
        <v>47</v>
      </c>
      <c r="B7" s="2" t="s">
        <v>59</v>
      </c>
      <c r="C7" s="2" t="s">
        <v>154</v>
      </c>
      <c r="D7" s="2" t="s">
        <v>27</v>
      </c>
      <c r="E7" s="2" t="s">
        <v>91</v>
      </c>
      <c r="F7" s="2">
        <v>3</v>
      </c>
      <c r="G7" s="2" t="s">
        <v>155</v>
      </c>
      <c r="H7" s="2" t="s">
        <v>156</v>
      </c>
    </row>
    <row r="8" spans="1:8" ht="29.1">
      <c r="A8" s="2" t="s">
        <v>47</v>
      </c>
      <c r="B8" s="2" t="s">
        <v>59</v>
      </c>
      <c r="C8" s="2" t="s">
        <v>154</v>
      </c>
      <c r="D8" s="2" t="s">
        <v>28</v>
      </c>
      <c r="E8" s="2" t="s">
        <v>53</v>
      </c>
      <c r="F8" s="2">
        <v>3</v>
      </c>
      <c r="G8" s="2" t="s">
        <v>155</v>
      </c>
      <c r="H8" s="2" t="s">
        <v>157</v>
      </c>
    </row>
    <row r="9" spans="1:8">
      <c r="A9" s="2" t="s">
        <v>47</v>
      </c>
      <c r="B9" s="2" t="s">
        <v>59</v>
      </c>
      <c r="C9" s="2" t="s">
        <v>158</v>
      </c>
      <c r="D9" s="2" t="s">
        <v>27</v>
      </c>
      <c r="E9" s="2" t="s">
        <v>91</v>
      </c>
      <c r="F9" s="2">
        <v>5</v>
      </c>
      <c r="G9" s="2" t="s">
        <v>159</v>
      </c>
      <c r="H9" s="2" t="s">
        <v>156</v>
      </c>
    </row>
    <row r="10" spans="1:8" ht="29.1">
      <c r="A10" s="2" t="s">
        <v>47</v>
      </c>
      <c r="B10" s="2" t="s">
        <v>59</v>
      </c>
      <c r="C10" s="2" t="s">
        <v>158</v>
      </c>
      <c r="D10" s="2" t="s">
        <v>28</v>
      </c>
      <c r="E10" s="2" t="s">
        <v>53</v>
      </c>
      <c r="F10" s="2">
        <v>5</v>
      </c>
      <c r="G10" s="2" t="s">
        <v>159</v>
      </c>
      <c r="H10" s="2" t="s">
        <v>157</v>
      </c>
    </row>
    <row r="11" spans="1:8" ht="29.1">
      <c r="A11" s="2" t="s">
        <v>47</v>
      </c>
      <c r="B11" s="2" t="s">
        <v>59</v>
      </c>
      <c r="C11" s="2" t="s">
        <v>160</v>
      </c>
      <c r="D11" s="2" t="s">
        <v>161</v>
      </c>
      <c r="E11" s="2" t="s">
        <v>164</v>
      </c>
      <c r="F11" s="2">
        <v>1</v>
      </c>
      <c r="G11" s="2" t="s">
        <v>162</v>
      </c>
      <c r="H11" s="2" t="s">
        <v>163</v>
      </c>
    </row>
    <row r="12" spans="1:8">
      <c r="A12" s="2" t="s">
        <v>47</v>
      </c>
      <c r="B12" s="2" t="s">
        <v>61</v>
      </c>
      <c r="C12" s="2" t="s">
        <v>154</v>
      </c>
      <c r="D12" s="2" t="s">
        <v>27</v>
      </c>
      <c r="E12" s="2" t="s">
        <v>52</v>
      </c>
      <c r="F12" s="2">
        <v>3</v>
      </c>
      <c r="G12" s="2" t="s">
        <v>155</v>
      </c>
      <c r="H12" s="2" t="s">
        <v>156</v>
      </c>
    </row>
    <row r="13" spans="1:8" ht="29.1">
      <c r="A13" s="2" t="s">
        <v>47</v>
      </c>
      <c r="B13" s="2" t="s">
        <v>61</v>
      </c>
      <c r="C13" s="2" t="s">
        <v>154</v>
      </c>
      <c r="D13" s="2" t="s">
        <v>28</v>
      </c>
      <c r="E13" s="2" t="s">
        <v>63</v>
      </c>
      <c r="F13" s="2">
        <v>3</v>
      </c>
      <c r="G13" s="2" t="s">
        <v>155</v>
      </c>
      <c r="H13" s="2" t="s">
        <v>157</v>
      </c>
    </row>
    <row r="14" spans="1:8">
      <c r="A14" s="2" t="s">
        <v>47</v>
      </c>
      <c r="B14" s="2" t="s">
        <v>61</v>
      </c>
      <c r="C14" s="2" t="s">
        <v>158</v>
      </c>
      <c r="D14" s="2" t="s">
        <v>27</v>
      </c>
      <c r="E14" s="2" t="s">
        <v>52</v>
      </c>
      <c r="F14" s="2">
        <v>5</v>
      </c>
      <c r="G14" s="2" t="s">
        <v>159</v>
      </c>
      <c r="H14" s="2" t="s">
        <v>156</v>
      </c>
    </row>
    <row r="15" spans="1:8" ht="29.1">
      <c r="A15" s="2" t="s">
        <v>47</v>
      </c>
      <c r="B15" s="2" t="s">
        <v>61</v>
      </c>
      <c r="C15" s="2" t="s">
        <v>158</v>
      </c>
      <c r="D15" s="2" t="s">
        <v>28</v>
      </c>
      <c r="E15" s="2" t="s">
        <v>63</v>
      </c>
      <c r="F15" s="2">
        <v>5</v>
      </c>
      <c r="G15" s="2" t="s">
        <v>159</v>
      </c>
      <c r="H15" s="2" t="s">
        <v>157</v>
      </c>
    </row>
    <row r="16" spans="1:8" ht="29.1">
      <c r="A16" s="2" t="s">
        <v>47</v>
      </c>
      <c r="B16" s="2" t="s">
        <v>61</v>
      </c>
      <c r="C16" s="2" t="s">
        <v>160</v>
      </c>
      <c r="D16" s="2" t="s">
        <v>161</v>
      </c>
      <c r="E16" s="2" t="s">
        <v>63</v>
      </c>
      <c r="F16" s="2">
        <v>1</v>
      </c>
      <c r="G16" s="2" t="s">
        <v>162</v>
      </c>
      <c r="H16" s="2" t="s">
        <v>163</v>
      </c>
    </row>
    <row r="17" spans="1:8">
      <c r="A17" s="2" t="s">
        <v>47</v>
      </c>
      <c r="B17" s="2" t="s">
        <v>64</v>
      </c>
      <c r="C17" s="2" t="s">
        <v>154</v>
      </c>
      <c r="D17" s="2" t="s">
        <v>27</v>
      </c>
      <c r="E17" s="2" t="s">
        <v>52</v>
      </c>
      <c r="F17" s="2">
        <v>3</v>
      </c>
      <c r="G17" s="2" t="s">
        <v>155</v>
      </c>
      <c r="H17" s="2" t="s">
        <v>156</v>
      </c>
    </row>
    <row r="18" spans="1:8" ht="29.1">
      <c r="A18" s="2" t="s">
        <v>47</v>
      </c>
      <c r="B18" s="2" t="s">
        <v>64</v>
      </c>
      <c r="C18" s="2" t="s">
        <v>154</v>
      </c>
      <c r="D18" s="2" t="s">
        <v>28</v>
      </c>
      <c r="E18" s="2" t="s">
        <v>53</v>
      </c>
      <c r="F18" s="2">
        <v>3</v>
      </c>
      <c r="G18" s="2" t="s">
        <v>155</v>
      </c>
      <c r="H18" s="2" t="s">
        <v>157</v>
      </c>
    </row>
    <row r="19" spans="1:8">
      <c r="A19" s="2" t="s">
        <v>47</v>
      </c>
      <c r="B19" s="2" t="s">
        <v>64</v>
      </c>
      <c r="C19" s="2" t="s">
        <v>158</v>
      </c>
      <c r="D19" s="2" t="s">
        <v>27</v>
      </c>
      <c r="E19" s="2" t="s">
        <v>52</v>
      </c>
      <c r="F19" s="2">
        <v>5</v>
      </c>
      <c r="G19" s="2" t="s">
        <v>159</v>
      </c>
      <c r="H19" s="2" t="s">
        <v>156</v>
      </c>
    </row>
    <row r="20" spans="1:8" ht="29.1">
      <c r="A20" s="2" t="s">
        <v>47</v>
      </c>
      <c r="B20" s="2" t="s">
        <v>64</v>
      </c>
      <c r="C20" s="2" t="s">
        <v>158</v>
      </c>
      <c r="D20" s="2" t="s">
        <v>28</v>
      </c>
      <c r="E20" s="2" t="s">
        <v>53</v>
      </c>
      <c r="F20" s="2">
        <v>5</v>
      </c>
      <c r="G20" s="2" t="s">
        <v>159</v>
      </c>
      <c r="H20" s="2" t="s">
        <v>157</v>
      </c>
    </row>
    <row r="21" spans="1:8" ht="29.1">
      <c r="A21" s="2" t="s">
        <v>47</v>
      </c>
      <c r="B21" s="2" t="s">
        <v>64</v>
      </c>
      <c r="C21" s="2" t="s">
        <v>160</v>
      </c>
      <c r="D21" s="2" t="s">
        <v>161</v>
      </c>
      <c r="E21" s="2" t="s">
        <v>63</v>
      </c>
      <c r="F21" s="2">
        <v>1</v>
      </c>
      <c r="G21" s="2" t="s">
        <v>162</v>
      </c>
      <c r="H21" s="2" t="s">
        <v>163</v>
      </c>
    </row>
    <row r="22" spans="1:8">
      <c r="A22" s="2" t="s">
        <v>47</v>
      </c>
      <c r="B22" s="2" t="s">
        <v>65</v>
      </c>
      <c r="C22" s="2" t="s">
        <v>154</v>
      </c>
      <c r="D22" s="2" t="s">
        <v>27</v>
      </c>
      <c r="E22" s="2" t="s">
        <v>52</v>
      </c>
      <c r="F22" s="2">
        <v>3</v>
      </c>
      <c r="G22" s="2" t="s">
        <v>155</v>
      </c>
      <c r="H22" s="2" t="s">
        <v>156</v>
      </c>
    </row>
    <row r="23" spans="1:8" ht="29.1">
      <c r="A23" s="2" t="s">
        <v>47</v>
      </c>
      <c r="B23" s="2" t="s">
        <v>65</v>
      </c>
      <c r="C23" s="2" t="s">
        <v>154</v>
      </c>
      <c r="D23" s="2" t="s">
        <v>28</v>
      </c>
      <c r="E23" s="2" t="s">
        <v>67</v>
      </c>
      <c r="F23" s="2">
        <v>3</v>
      </c>
      <c r="G23" s="2" t="s">
        <v>155</v>
      </c>
      <c r="H23" s="2" t="s">
        <v>157</v>
      </c>
    </row>
    <row r="24" spans="1:8">
      <c r="A24" s="2" t="s">
        <v>47</v>
      </c>
      <c r="B24" s="2" t="s">
        <v>65</v>
      </c>
      <c r="C24" s="2" t="s">
        <v>158</v>
      </c>
      <c r="D24" s="2" t="s">
        <v>27</v>
      </c>
      <c r="E24" s="2" t="s">
        <v>52</v>
      </c>
      <c r="F24" s="2">
        <v>5</v>
      </c>
      <c r="G24" s="2" t="s">
        <v>159</v>
      </c>
      <c r="H24" s="2" t="s">
        <v>156</v>
      </c>
    </row>
    <row r="25" spans="1:8" ht="29.1">
      <c r="A25" s="2" t="s">
        <v>47</v>
      </c>
      <c r="B25" s="2" t="s">
        <v>65</v>
      </c>
      <c r="C25" s="2" t="s">
        <v>158</v>
      </c>
      <c r="D25" s="2" t="s">
        <v>28</v>
      </c>
      <c r="E25" s="2" t="s">
        <v>67</v>
      </c>
      <c r="F25" s="2">
        <v>5</v>
      </c>
      <c r="G25" s="2" t="s">
        <v>159</v>
      </c>
      <c r="H25" s="2" t="s">
        <v>157</v>
      </c>
    </row>
    <row r="26" spans="1:8" ht="29.1">
      <c r="A26" s="2" t="s">
        <v>47</v>
      </c>
      <c r="B26" s="2" t="s">
        <v>65</v>
      </c>
      <c r="C26" s="2" t="s">
        <v>160</v>
      </c>
      <c r="D26" s="2" t="s">
        <v>161</v>
      </c>
      <c r="E26" s="2" t="s">
        <v>63</v>
      </c>
      <c r="F26" s="2">
        <v>1</v>
      </c>
      <c r="G26" s="2" t="s">
        <v>162</v>
      </c>
      <c r="H26" s="2" t="s">
        <v>163</v>
      </c>
    </row>
    <row r="27" spans="1:8">
      <c r="A27" s="2" t="s">
        <v>47</v>
      </c>
      <c r="B27" s="2" t="s">
        <v>68</v>
      </c>
      <c r="C27" s="2" t="s">
        <v>154</v>
      </c>
      <c r="D27" s="2" t="s">
        <v>27</v>
      </c>
      <c r="E27" s="2" t="s">
        <v>52</v>
      </c>
      <c r="F27" s="2">
        <v>3</v>
      </c>
      <c r="G27" s="2" t="s">
        <v>155</v>
      </c>
      <c r="H27" s="2" t="s">
        <v>156</v>
      </c>
    </row>
    <row r="28" spans="1:8" ht="29.1">
      <c r="A28" s="2" t="s">
        <v>47</v>
      </c>
      <c r="B28" s="2" t="s">
        <v>68</v>
      </c>
      <c r="C28" s="2" t="s">
        <v>154</v>
      </c>
      <c r="D28" s="2" t="s">
        <v>28</v>
      </c>
      <c r="E28" s="2" t="s">
        <v>63</v>
      </c>
      <c r="F28" s="2">
        <v>3</v>
      </c>
      <c r="G28" s="2" t="s">
        <v>155</v>
      </c>
      <c r="H28" s="2" t="s">
        <v>157</v>
      </c>
    </row>
    <row r="29" spans="1:8">
      <c r="A29" s="2" t="s">
        <v>47</v>
      </c>
      <c r="B29" s="2" t="s">
        <v>68</v>
      </c>
      <c r="C29" s="2" t="s">
        <v>158</v>
      </c>
      <c r="D29" s="2" t="s">
        <v>27</v>
      </c>
      <c r="E29" s="2" t="s">
        <v>52</v>
      </c>
      <c r="F29" s="2">
        <v>5</v>
      </c>
      <c r="G29" s="2" t="s">
        <v>159</v>
      </c>
      <c r="H29" s="2" t="s">
        <v>156</v>
      </c>
    </row>
    <row r="30" spans="1:8" ht="29.1">
      <c r="A30" s="2" t="s">
        <v>47</v>
      </c>
      <c r="B30" s="2" t="s">
        <v>68</v>
      </c>
      <c r="C30" s="2" t="s">
        <v>158</v>
      </c>
      <c r="D30" s="2" t="s">
        <v>28</v>
      </c>
      <c r="E30" s="2" t="s">
        <v>63</v>
      </c>
      <c r="F30" s="2">
        <v>5</v>
      </c>
      <c r="G30" s="2" t="s">
        <v>159</v>
      </c>
      <c r="H30" s="2" t="s">
        <v>157</v>
      </c>
    </row>
    <row r="31" spans="1:8" ht="29.1">
      <c r="A31" s="2" t="s">
        <v>47</v>
      </c>
      <c r="B31" s="2" t="s">
        <v>68</v>
      </c>
      <c r="C31" s="2" t="s">
        <v>160</v>
      </c>
      <c r="D31" s="2" t="s">
        <v>161</v>
      </c>
      <c r="E31" s="2" t="s">
        <v>63</v>
      </c>
      <c r="F31" s="2">
        <v>1</v>
      </c>
      <c r="G31" s="2" t="s">
        <v>162</v>
      </c>
      <c r="H31" s="2" t="s">
        <v>163</v>
      </c>
    </row>
    <row r="32" spans="1:8">
      <c r="A32" s="2" t="s">
        <v>47</v>
      </c>
      <c r="B32" s="2" t="s">
        <v>69</v>
      </c>
      <c r="C32" s="2" t="s">
        <v>154</v>
      </c>
      <c r="D32" s="2" t="s">
        <v>27</v>
      </c>
      <c r="E32" s="2" t="s">
        <v>52</v>
      </c>
      <c r="F32" s="2">
        <v>3</v>
      </c>
      <c r="G32" s="2" t="s">
        <v>155</v>
      </c>
      <c r="H32" s="2" t="s">
        <v>156</v>
      </c>
    </row>
    <row r="33" spans="1:8" ht="29.1">
      <c r="A33" s="2" t="s">
        <v>47</v>
      </c>
      <c r="B33" s="2" t="s">
        <v>69</v>
      </c>
      <c r="C33" s="2" t="s">
        <v>154</v>
      </c>
      <c r="D33" s="2" t="s">
        <v>28</v>
      </c>
      <c r="E33" s="2" t="s">
        <v>53</v>
      </c>
      <c r="F33" s="2">
        <v>3</v>
      </c>
      <c r="G33" s="2" t="s">
        <v>155</v>
      </c>
      <c r="H33" s="2" t="s">
        <v>157</v>
      </c>
    </row>
    <row r="34" spans="1:8">
      <c r="A34" s="2" t="s">
        <v>47</v>
      </c>
      <c r="B34" s="2" t="s">
        <v>69</v>
      </c>
      <c r="C34" s="2" t="s">
        <v>158</v>
      </c>
      <c r="D34" s="2" t="s">
        <v>27</v>
      </c>
      <c r="E34" s="2" t="s">
        <v>52</v>
      </c>
      <c r="F34" s="2">
        <v>5</v>
      </c>
      <c r="G34" s="2" t="s">
        <v>159</v>
      </c>
      <c r="H34" s="2" t="s">
        <v>156</v>
      </c>
    </row>
    <row r="35" spans="1:8" ht="29.1">
      <c r="A35" s="2" t="s">
        <v>47</v>
      </c>
      <c r="B35" s="2" t="s">
        <v>69</v>
      </c>
      <c r="C35" s="2" t="s">
        <v>158</v>
      </c>
      <c r="D35" s="2" t="s">
        <v>28</v>
      </c>
      <c r="E35" s="2" t="s">
        <v>53</v>
      </c>
      <c r="F35" s="2">
        <v>5</v>
      </c>
      <c r="G35" s="2" t="s">
        <v>159</v>
      </c>
      <c r="H35" s="2" t="s">
        <v>157</v>
      </c>
    </row>
    <row r="36" spans="1:8" ht="29.1">
      <c r="A36" s="2" t="s">
        <v>47</v>
      </c>
      <c r="B36" s="2" t="s">
        <v>69</v>
      </c>
      <c r="C36" s="2" t="s">
        <v>160</v>
      </c>
      <c r="D36" s="2" t="s">
        <v>161</v>
      </c>
      <c r="E36" s="2" t="s">
        <v>63</v>
      </c>
      <c r="F36" s="2">
        <v>1</v>
      </c>
      <c r="G36" s="2" t="s">
        <v>162</v>
      </c>
      <c r="H36" s="2" t="s">
        <v>163</v>
      </c>
    </row>
    <row r="37" spans="1:8">
      <c r="A37" s="2" t="s">
        <v>47</v>
      </c>
      <c r="B37" s="2" t="s">
        <v>70</v>
      </c>
      <c r="C37" s="2" t="s">
        <v>154</v>
      </c>
      <c r="D37" s="2" t="s">
        <v>27</v>
      </c>
      <c r="E37" s="2" t="s">
        <v>73</v>
      </c>
      <c r="F37" s="2">
        <v>3</v>
      </c>
      <c r="G37" s="2" t="s">
        <v>155</v>
      </c>
      <c r="H37" s="2" t="s">
        <v>156</v>
      </c>
    </row>
    <row r="38" spans="1:8" ht="29.1">
      <c r="A38" s="2" t="s">
        <v>47</v>
      </c>
      <c r="B38" s="2" t="s">
        <v>70</v>
      </c>
      <c r="C38" s="2" t="s">
        <v>154</v>
      </c>
      <c r="D38" s="2" t="s">
        <v>28</v>
      </c>
      <c r="E38" s="2" t="s">
        <v>74</v>
      </c>
      <c r="F38" s="2">
        <v>3</v>
      </c>
      <c r="G38" s="2" t="s">
        <v>155</v>
      </c>
      <c r="H38" s="2" t="s">
        <v>157</v>
      </c>
    </row>
    <row r="39" spans="1:8">
      <c r="A39" s="2" t="s">
        <v>47</v>
      </c>
      <c r="B39" s="2" t="s">
        <v>70</v>
      </c>
      <c r="C39" s="2" t="s">
        <v>158</v>
      </c>
      <c r="D39" s="2" t="s">
        <v>27</v>
      </c>
      <c r="E39" s="2" t="s">
        <v>73</v>
      </c>
      <c r="F39" s="2">
        <v>5</v>
      </c>
      <c r="G39" s="2" t="s">
        <v>159</v>
      </c>
      <c r="H39" s="2" t="s">
        <v>156</v>
      </c>
    </row>
    <row r="40" spans="1:8" ht="29.1">
      <c r="A40" s="2" t="s">
        <v>47</v>
      </c>
      <c r="B40" s="2" t="s">
        <v>70</v>
      </c>
      <c r="C40" s="2" t="s">
        <v>158</v>
      </c>
      <c r="D40" s="2" t="s">
        <v>28</v>
      </c>
      <c r="E40" s="2" t="s">
        <v>74</v>
      </c>
      <c r="F40" s="2">
        <v>5</v>
      </c>
      <c r="G40" s="2" t="s">
        <v>159</v>
      </c>
      <c r="H40" s="2" t="s">
        <v>157</v>
      </c>
    </row>
    <row r="41" spans="1:8" ht="29.1">
      <c r="A41" s="2" t="s">
        <v>47</v>
      </c>
      <c r="B41" s="2" t="s">
        <v>70</v>
      </c>
      <c r="C41" s="2" t="s">
        <v>160</v>
      </c>
      <c r="D41" s="2" t="s">
        <v>161</v>
      </c>
      <c r="E41" s="2" t="s">
        <v>165</v>
      </c>
      <c r="F41" s="2">
        <v>1</v>
      </c>
      <c r="G41" s="2" t="s">
        <v>162</v>
      </c>
      <c r="H41" s="2" t="s">
        <v>163</v>
      </c>
    </row>
    <row r="42" spans="1:8">
      <c r="A42" s="2" t="s">
        <v>47</v>
      </c>
      <c r="B42" s="2" t="s">
        <v>75</v>
      </c>
      <c r="C42" s="2" t="s">
        <v>154</v>
      </c>
      <c r="D42" s="2" t="s">
        <v>27</v>
      </c>
      <c r="E42" s="2" t="s">
        <v>78</v>
      </c>
      <c r="F42" s="2">
        <v>3</v>
      </c>
      <c r="G42" s="2" t="s">
        <v>155</v>
      </c>
      <c r="H42" s="2" t="s">
        <v>156</v>
      </c>
    </row>
    <row r="43" spans="1:8" ht="29.1">
      <c r="A43" s="2" t="s">
        <v>47</v>
      </c>
      <c r="B43" s="2" t="s">
        <v>75</v>
      </c>
      <c r="C43" s="2" t="s">
        <v>154</v>
      </c>
      <c r="D43" s="2" t="s">
        <v>28</v>
      </c>
      <c r="E43" s="2" t="s">
        <v>79</v>
      </c>
      <c r="F43" s="2">
        <v>3</v>
      </c>
      <c r="G43" s="2" t="s">
        <v>155</v>
      </c>
      <c r="H43" s="2" t="s">
        <v>157</v>
      </c>
    </row>
    <row r="44" spans="1:8">
      <c r="A44" s="2" t="s">
        <v>47</v>
      </c>
      <c r="B44" s="2" t="s">
        <v>75</v>
      </c>
      <c r="C44" s="2" t="s">
        <v>158</v>
      </c>
      <c r="D44" s="2" t="s">
        <v>27</v>
      </c>
      <c r="E44" s="2" t="s">
        <v>78</v>
      </c>
      <c r="F44" s="2">
        <v>5</v>
      </c>
      <c r="G44" s="2" t="s">
        <v>159</v>
      </c>
      <c r="H44" s="2" t="s">
        <v>156</v>
      </c>
    </row>
    <row r="45" spans="1:8" ht="29.1">
      <c r="A45" s="2" t="s">
        <v>47</v>
      </c>
      <c r="B45" s="2" t="s">
        <v>75</v>
      </c>
      <c r="C45" s="2" t="s">
        <v>158</v>
      </c>
      <c r="D45" s="2" t="s">
        <v>28</v>
      </c>
      <c r="E45" s="2" t="s">
        <v>79</v>
      </c>
      <c r="F45" s="2">
        <v>5</v>
      </c>
      <c r="G45" s="2" t="s">
        <v>159</v>
      </c>
      <c r="H45" s="2" t="s">
        <v>157</v>
      </c>
    </row>
    <row r="46" spans="1:8">
      <c r="A46" s="2" t="s">
        <v>47</v>
      </c>
      <c r="B46" s="2" t="s">
        <v>75</v>
      </c>
      <c r="C46" s="2" t="s">
        <v>160</v>
      </c>
      <c r="D46" s="2" t="s">
        <v>161</v>
      </c>
      <c r="E46" s="2" t="s">
        <v>166</v>
      </c>
      <c r="F46" s="2">
        <v>1</v>
      </c>
      <c r="G46" s="2" t="s">
        <v>162</v>
      </c>
      <c r="H46" s="2" t="s">
        <v>167</v>
      </c>
    </row>
    <row r="47" spans="1:8">
      <c r="A47" s="2" t="s">
        <v>47</v>
      </c>
      <c r="B47" s="2" t="s">
        <v>81</v>
      </c>
      <c r="C47" s="2" t="s">
        <v>154</v>
      </c>
      <c r="D47" s="2" t="s">
        <v>27</v>
      </c>
      <c r="E47" s="2" t="s">
        <v>52</v>
      </c>
      <c r="F47" s="2">
        <v>3</v>
      </c>
      <c r="G47" s="2" t="s">
        <v>155</v>
      </c>
      <c r="H47" s="2" t="s">
        <v>156</v>
      </c>
    </row>
    <row r="48" spans="1:8" ht="29.1">
      <c r="A48" s="2" t="s">
        <v>47</v>
      </c>
      <c r="B48" s="2" t="s">
        <v>81</v>
      </c>
      <c r="C48" s="2" t="s">
        <v>154</v>
      </c>
      <c r="D48" s="2" t="s">
        <v>28</v>
      </c>
      <c r="E48" s="2" t="s">
        <v>53</v>
      </c>
      <c r="F48" s="2">
        <v>3</v>
      </c>
      <c r="G48" s="2" t="s">
        <v>155</v>
      </c>
      <c r="H48" s="2" t="s">
        <v>157</v>
      </c>
    </row>
    <row r="49" spans="1:8">
      <c r="A49" s="2" t="s">
        <v>47</v>
      </c>
      <c r="B49" s="2" t="s">
        <v>81</v>
      </c>
      <c r="C49" s="2" t="s">
        <v>158</v>
      </c>
      <c r="D49" s="2" t="s">
        <v>27</v>
      </c>
      <c r="E49" s="2" t="s">
        <v>52</v>
      </c>
      <c r="F49" s="2">
        <v>5</v>
      </c>
      <c r="G49" s="2" t="s">
        <v>159</v>
      </c>
      <c r="H49" s="2" t="s">
        <v>156</v>
      </c>
    </row>
    <row r="50" spans="1:8" ht="29.1">
      <c r="A50" s="2" t="s">
        <v>47</v>
      </c>
      <c r="B50" s="2" t="s">
        <v>81</v>
      </c>
      <c r="C50" s="2" t="s">
        <v>158</v>
      </c>
      <c r="D50" s="2" t="s">
        <v>28</v>
      </c>
      <c r="E50" s="2" t="s">
        <v>53</v>
      </c>
      <c r="F50" s="2">
        <v>5</v>
      </c>
      <c r="G50" s="2" t="s">
        <v>159</v>
      </c>
      <c r="H50" s="2" t="s">
        <v>157</v>
      </c>
    </row>
    <row r="51" spans="1:8" ht="29.1">
      <c r="A51" s="2" t="s">
        <v>47</v>
      </c>
      <c r="B51" s="2" t="s">
        <v>81</v>
      </c>
      <c r="C51" s="2" t="s">
        <v>160</v>
      </c>
      <c r="D51" s="2" t="s">
        <v>161</v>
      </c>
      <c r="E51" s="2" t="s">
        <v>63</v>
      </c>
      <c r="F51" s="2">
        <v>1</v>
      </c>
      <c r="G51" s="2" t="s">
        <v>162</v>
      </c>
      <c r="H51" s="2" t="s">
        <v>163</v>
      </c>
    </row>
    <row r="52" spans="1:8">
      <c r="A52" s="2" t="s">
        <v>47</v>
      </c>
      <c r="B52" s="2" t="s">
        <v>82</v>
      </c>
      <c r="C52" s="2" t="s">
        <v>154</v>
      </c>
      <c r="D52" s="2" t="s">
        <v>27</v>
      </c>
      <c r="E52" s="2" t="s">
        <v>52</v>
      </c>
      <c r="F52" s="2">
        <v>3</v>
      </c>
      <c r="G52" s="2" t="s">
        <v>155</v>
      </c>
      <c r="H52" s="2" t="s">
        <v>156</v>
      </c>
    </row>
    <row r="53" spans="1:8" ht="29.1">
      <c r="A53" s="2" t="s">
        <v>47</v>
      </c>
      <c r="B53" s="2" t="s">
        <v>82</v>
      </c>
      <c r="C53" s="2" t="s">
        <v>154</v>
      </c>
      <c r="D53" s="2" t="s">
        <v>28</v>
      </c>
      <c r="E53" s="2" t="s">
        <v>84</v>
      </c>
      <c r="F53" s="2">
        <v>3</v>
      </c>
      <c r="G53" s="2" t="s">
        <v>155</v>
      </c>
      <c r="H53" s="2" t="s">
        <v>157</v>
      </c>
    </row>
    <row r="54" spans="1:8">
      <c r="A54" s="2" t="s">
        <v>47</v>
      </c>
      <c r="B54" s="2" t="s">
        <v>82</v>
      </c>
      <c r="C54" s="2" t="s">
        <v>158</v>
      </c>
      <c r="D54" s="2" t="s">
        <v>27</v>
      </c>
      <c r="E54" s="2" t="s">
        <v>52</v>
      </c>
      <c r="F54" s="2">
        <v>5</v>
      </c>
      <c r="G54" s="2" t="s">
        <v>159</v>
      </c>
      <c r="H54" s="2" t="s">
        <v>156</v>
      </c>
    </row>
    <row r="55" spans="1:8" ht="29.1">
      <c r="A55" s="2" t="s">
        <v>47</v>
      </c>
      <c r="B55" s="2" t="s">
        <v>82</v>
      </c>
      <c r="C55" s="2" t="s">
        <v>158</v>
      </c>
      <c r="D55" s="2" t="s">
        <v>28</v>
      </c>
      <c r="E55" s="2" t="s">
        <v>84</v>
      </c>
      <c r="F55" s="2">
        <v>5</v>
      </c>
      <c r="G55" s="2" t="s">
        <v>159</v>
      </c>
      <c r="H55" s="2" t="s">
        <v>157</v>
      </c>
    </row>
    <row r="56" spans="1:8" ht="29.1">
      <c r="A56" s="2" t="s">
        <v>47</v>
      </c>
      <c r="B56" s="2" t="s">
        <v>82</v>
      </c>
      <c r="C56" s="2" t="s">
        <v>160</v>
      </c>
      <c r="D56" s="2" t="s">
        <v>161</v>
      </c>
      <c r="E56" s="2" t="s">
        <v>63</v>
      </c>
      <c r="F56" s="2">
        <v>1</v>
      </c>
      <c r="G56" s="2" t="s">
        <v>162</v>
      </c>
      <c r="H56" s="2" t="s">
        <v>163</v>
      </c>
    </row>
    <row r="57" spans="1:8">
      <c r="A57" s="2" t="s">
        <v>85</v>
      </c>
      <c r="B57" s="2" t="s">
        <v>86</v>
      </c>
      <c r="C57" s="2" t="s">
        <v>154</v>
      </c>
      <c r="D57" s="2" t="s">
        <v>27</v>
      </c>
      <c r="E57" s="2" t="s">
        <v>52</v>
      </c>
      <c r="F57" s="2">
        <v>3</v>
      </c>
      <c r="G57" s="2" t="s">
        <v>155</v>
      </c>
      <c r="H57" s="2" t="s">
        <v>156</v>
      </c>
    </row>
    <row r="58" spans="1:8" ht="29.1">
      <c r="A58" s="2" t="s">
        <v>85</v>
      </c>
      <c r="B58" s="2" t="s">
        <v>86</v>
      </c>
      <c r="C58" s="2" t="s">
        <v>154</v>
      </c>
      <c r="D58" s="2" t="s">
        <v>28</v>
      </c>
      <c r="E58" s="2" t="s">
        <v>84</v>
      </c>
      <c r="F58" s="2">
        <v>3</v>
      </c>
      <c r="G58" s="2" t="s">
        <v>155</v>
      </c>
      <c r="H58" s="2" t="s">
        <v>157</v>
      </c>
    </row>
    <row r="59" spans="1:8">
      <c r="A59" s="2" t="s">
        <v>85</v>
      </c>
      <c r="B59" s="2" t="s">
        <v>86</v>
      </c>
      <c r="C59" s="2" t="s">
        <v>158</v>
      </c>
      <c r="D59" s="2" t="s">
        <v>27</v>
      </c>
      <c r="E59" s="2" t="s">
        <v>52</v>
      </c>
      <c r="F59" s="2">
        <v>5</v>
      </c>
      <c r="G59" s="2" t="s">
        <v>159</v>
      </c>
      <c r="H59" s="2" t="s">
        <v>156</v>
      </c>
    </row>
    <row r="60" spans="1:8" ht="29.1">
      <c r="A60" s="2" t="s">
        <v>85</v>
      </c>
      <c r="B60" s="2" t="s">
        <v>86</v>
      </c>
      <c r="C60" s="2" t="s">
        <v>158</v>
      </c>
      <c r="D60" s="2" t="s">
        <v>28</v>
      </c>
      <c r="E60" s="2" t="s">
        <v>84</v>
      </c>
      <c r="F60" s="2">
        <v>5</v>
      </c>
      <c r="G60" s="2" t="s">
        <v>159</v>
      </c>
      <c r="H60" s="2" t="s">
        <v>157</v>
      </c>
    </row>
    <row r="61" spans="1:8" ht="29.1">
      <c r="A61" s="2" t="s">
        <v>85</v>
      </c>
      <c r="B61" s="2" t="s">
        <v>86</v>
      </c>
      <c r="C61" s="2" t="s">
        <v>160</v>
      </c>
      <c r="D61" s="2" t="s">
        <v>161</v>
      </c>
      <c r="E61" s="2" t="s">
        <v>63</v>
      </c>
      <c r="F61" s="2">
        <v>1</v>
      </c>
      <c r="G61" s="2" t="s">
        <v>162</v>
      </c>
      <c r="H61" s="2" t="s">
        <v>163</v>
      </c>
    </row>
    <row r="62" spans="1:8">
      <c r="A62" s="2" t="s">
        <v>85</v>
      </c>
      <c r="B62" s="2" t="s">
        <v>89</v>
      </c>
      <c r="C62" s="2" t="s">
        <v>154</v>
      </c>
      <c r="D62" s="2" t="s">
        <v>27</v>
      </c>
      <c r="E62" s="2" t="s">
        <v>91</v>
      </c>
      <c r="F62" s="2">
        <v>3</v>
      </c>
      <c r="G62" s="2" t="s">
        <v>155</v>
      </c>
      <c r="H62" s="2" t="s">
        <v>156</v>
      </c>
    </row>
    <row r="63" spans="1:8" ht="29.1">
      <c r="A63" s="2" t="s">
        <v>85</v>
      </c>
      <c r="B63" s="2" t="s">
        <v>89</v>
      </c>
      <c r="C63" s="2" t="s">
        <v>154</v>
      </c>
      <c r="D63" s="2" t="s">
        <v>28</v>
      </c>
      <c r="E63" s="2" t="s">
        <v>79</v>
      </c>
      <c r="F63" s="2">
        <v>3</v>
      </c>
      <c r="G63" s="2" t="s">
        <v>155</v>
      </c>
      <c r="H63" s="2" t="s">
        <v>157</v>
      </c>
    </row>
    <row r="64" spans="1:8">
      <c r="A64" s="2" t="s">
        <v>85</v>
      </c>
      <c r="B64" s="2" t="s">
        <v>89</v>
      </c>
      <c r="C64" s="2" t="s">
        <v>158</v>
      </c>
      <c r="D64" s="2" t="s">
        <v>27</v>
      </c>
      <c r="E64" s="2" t="s">
        <v>91</v>
      </c>
      <c r="F64" s="2">
        <v>5</v>
      </c>
      <c r="G64" s="2" t="s">
        <v>159</v>
      </c>
      <c r="H64" s="2" t="s">
        <v>156</v>
      </c>
    </row>
    <row r="65" spans="1:8" ht="29.1">
      <c r="A65" s="2" t="s">
        <v>85</v>
      </c>
      <c r="B65" s="2" t="s">
        <v>89</v>
      </c>
      <c r="C65" s="2" t="s">
        <v>158</v>
      </c>
      <c r="D65" s="2" t="s">
        <v>28</v>
      </c>
      <c r="E65" s="2" t="s">
        <v>79</v>
      </c>
      <c r="F65" s="2">
        <v>5</v>
      </c>
      <c r="G65" s="2" t="s">
        <v>159</v>
      </c>
      <c r="H65" s="2" t="s">
        <v>157</v>
      </c>
    </row>
    <row r="66" spans="1:8" ht="29.1">
      <c r="A66" s="2" t="s">
        <v>85</v>
      </c>
      <c r="B66" s="2" t="s">
        <v>89</v>
      </c>
      <c r="C66" s="2" t="s">
        <v>160</v>
      </c>
      <c r="D66" s="2" t="s">
        <v>161</v>
      </c>
      <c r="E66" s="2" t="s">
        <v>168</v>
      </c>
      <c r="F66" s="2">
        <v>1</v>
      </c>
      <c r="G66" s="2" t="s">
        <v>162</v>
      </c>
      <c r="H66" s="2" t="s">
        <v>163</v>
      </c>
    </row>
    <row r="67" spans="1:8">
      <c r="A67" s="2" t="s">
        <v>85</v>
      </c>
      <c r="B67" s="2" t="s">
        <v>92</v>
      </c>
      <c r="C67" s="2" t="s">
        <v>154</v>
      </c>
      <c r="D67" s="2" t="s">
        <v>27</v>
      </c>
      <c r="E67" s="2" t="s">
        <v>91</v>
      </c>
      <c r="F67" s="2">
        <v>3</v>
      </c>
      <c r="G67" s="2" t="s">
        <v>155</v>
      </c>
      <c r="H67" s="2" t="s">
        <v>156</v>
      </c>
    </row>
    <row r="68" spans="1:8" ht="29.1">
      <c r="A68" s="2" t="s">
        <v>85</v>
      </c>
      <c r="B68" s="2" t="s">
        <v>92</v>
      </c>
      <c r="C68" s="2" t="s">
        <v>154</v>
      </c>
      <c r="D68" s="2" t="s">
        <v>28</v>
      </c>
      <c r="E68" s="2" t="s">
        <v>79</v>
      </c>
      <c r="F68" s="2">
        <v>3</v>
      </c>
      <c r="G68" s="2" t="s">
        <v>155</v>
      </c>
      <c r="H68" s="2" t="s">
        <v>157</v>
      </c>
    </row>
    <row r="69" spans="1:8">
      <c r="A69" s="2" t="s">
        <v>85</v>
      </c>
      <c r="B69" s="2" t="s">
        <v>92</v>
      </c>
      <c r="C69" s="2" t="s">
        <v>158</v>
      </c>
      <c r="D69" s="2" t="s">
        <v>27</v>
      </c>
      <c r="E69" s="2" t="s">
        <v>91</v>
      </c>
      <c r="F69" s="2">
        <v>5</v>
      </c>
      <c r="G69" s="2" t="s">
        <v>159</v>
      </c>
      <c r="H69" s="2" t="s">
        <v>156</v>
      </c>
    </row>
    <row r="70" spans="1:8" ht="29.1">
      <c r="A70" s="2" t="s">
        <v>85</v>
      </c>
      <c r="B70" s="2" t="s">
        <v>92</v>
      </c>
      <c r="C70" s="2" t="s">
        <v>158</v>
      </c>
      <c r="D70" s="2" t="s">
        <v>28</v>
      </c>
      <c r="E70" s="2" t="s">
        <v>79</v>
      </c>
      <c r="F70" s="2">
        <v>5</v>
      </c>
      <c r="G70" s="2" t="s">
        <v>159</v>
      </c>
      <c r="H70" s="2" t="s">
        <v>157</v>
      </c>
    </row>
    <row r="71" spans="1:8" ht="29.1">
      <c r="A71" s="2" t="s">
        <v>85</v>
      </c>
      <c r="B71" s="2" t="s">
        <v>92</v>
      </c>
      <c r="C71" s="2" t="s">
        <v>160</v>
      </c>
      <c r="D71" s="2" t="s">
        <v>161</v>
      </c>
      <c r="E71" s="2" t="s">
        <v>168</v>
      </c>
      <c r="F71" s="2">
        <v>1</v>
      </c>
      <c r="G71" s="2" t="s">
        <v>162</v>
      </c>
      <c r="H71" s="2" t="s">
        <v>163</v>
      </c>
    </row>
    <row r="72" spans="1:8">
      <c r="A72" s="2" t="s">
        <v>85</v>
      </c>
      <c r="B72" s="2" t="s">
        <v>93</v>
      </c>
      <c r="C72" s="2" t="s">
        <v>154</v>
      </c>
      <c r="D72" s="2" t="s">
        <v>27</v>
      </c>
      <c r="E72" s="2" t="s">
        <v>52</v>
      </c>
      <c r="F72" s="2">
        <v>3</v>
      </c>
      <c r="G72" s="2" t="s">
        <v>155</v>
      </c>
      <c r="H72" s="2" t="s">
        <v>156</v>
      </c>
    </row>
    <row r="73" spans="1:8" ht="29.1">
      <c r="A73" s="2" t="s">
        <v>85</v>
      </c>
      <c r="B73" s="2" t="s">
        <v>93</v>
      </c>
      <c r="C73" s="2" t="s">
        <v>154</v>
      </c>
      <c r="D73" s="2" t="s">
        <v>28</v>
      </c>
      <c r="E73" s="2" t="s">
        <v>84</v>
      </c>
      <c r="F73" s="2">
        <v>3</v>
      </c>
      <c r="G73" s="2" t="s">
        <v>155</v>
      </c>
      <c r="H73" s="2" t="s">
        <v>157</v>
      </c>
    </row>
    <row r="74" spans="1:8">
      <c r="A74" s="2" t="s">
        <v>85</v>
      </c>
      <c r="B74" s="2" t="s">
        <v>93</v>
      </c>
      <c r="C74" s="2" t="s">
        <v>158</v>
      </c>
      <c r="D74" s="2" t="s">
        <v>27</v>
      </c>
      <c r="E74" s="2" t="s">
        <v>52</v>
      </c>
      <c r="F74" s="2">
        <v>5</v>
      </c>
      <c r="G74" s="2" t="s">
        <v>159</v>
      </c>
      <c r="H74" s="2" t="s">
        <v>156</v>
      </c>
    </row>
    <row r="75" spans="1:8" ht="29.1">
      <c r="A75" s="2" t="s">
        <v>85</v>
      </c>
      <c r="B75" s="2" t="s">
        <v>93</v>
      </c>
      <c r="C75" s="2" t="s">
        <v>158</v>
      </c>
      <c r="D75" s="2" t="s">
        <v>28</v>
      </c>
      <c r="E75" s="2" t="s">
        <v>84</v>
      </c>
      <c r="F75" s="2">
        <v>5</v>
      </c>
      <c r="G75" s="2" t="s">
        <v>159</v>
      </c>
      <c r="H75" s="2" t="s">
        <v>157</v>
      </c>
    </row>
    <row r="76" spans="1:8" ht="29.1">
      <c r="A76" s="2" t="s">
        <v>85</v>
      </c>
      <c r="B76" s="2" t="s">
        <v>93</v>
      </c>
      <c r="C76" s="2" t="s">
        <v>160</v>
      </c>
      <c r="D76" s="2" t="s">
        <v>161</v>
      </c>
      <c r="E76" s="2" t="s">
        <v>63</v>
      </c>
      <c r="F76" s="2">
        <v>1</v>
      </c>
      <c r="G76" s="2" t="s">
        <v>162</v>
      </c>
      <c r="H76" s="2" t="s">
        <v>163</v>
      </c>
    </row>
    <row r="77" spans="1:8">
      <c r="A77" s="2" t="s">
        <v>85</v>
      </c>
      <c r="B77" s="2" t="s">
        <v>94</v>
      </c>
      <c r="C77" s="2" t="s">
        <v>154</v>
      </c>
      <c r="D77" s="2" t="s">
        <v>27</v>
      </c>
      <c r="E77" s="2" t="s">
        <v>91</v>
      </c>
      <c r="F77" s="2">
        <v>3</v>
      </c>
      <c r="G77" s="2" t="s">
        <v>155</v>
      </c>
      <c r="H77" s="2" t="s">
        <v>156</v>
      </c>
    </row>
    <row r="78" spans="1:8" ht="29.1">
      <c r="A78" s="2" t="s">
        <v>85</v>
      </c>
      <c r="B78" s="2" t="s">
        <v>94</v>
      </c>
      <c r="C78" s="2" t="s">
        <v>154</v>
      </c>
      <c r="D78" s="2" t="s">
        <v>28</v>
      </c>
      <c r="E78" s="2" t="s">
        <v>79</v>
      </c>
      <c r="F78" s="2">
        <v>3</v>
      </c>
      <c r="G78" s="2" t="s">
        <v>155</v>
      </c>
      <c r="H78" s="2" t="s">
        <v>157</v>
      </c>
    </row>
    <row r="79" spans="1:8">
      <c r="A79" s="2" t="s">
        <v>85</v>
      </c>
      <c r="B79" s="2" t="s">
        <v>94</v>
      </c>
      <c r="C79" s="2" t="s">
        <v>158</v>
      </c>
      <c r="D79" s="2" t="s">
        <v>27</v>
      </c>
      <c r="E79" s="2" t="s">
        <v>91</v>
      </c>
      <c r="F79" s="2">
        <v>5</v>
      </c>
      <c r="G79" s="2" t="s">
        <v>159</v>
      </c>
      <c r="H79" s="2" t="s">
        <v>156</v>
      </c>
    </row>
    <row r="80" spans="1:8" ht="29.1">
      <c r="A80" s="2" t="s">
        <v>85</v>
      </c>
      <c r="B80" s="2" t="s">
        <v>94</v>
      </c>
      <c r="C80" s="2" t="s">
        <v>158</v>
      </c>
      <c r="D80" s="2" t="s">
        <v>28</v>
      </c>
      <c r="E80" s="2" t="s">
        <v>79</v>
      </c>
      <c r="F80" s="2">
        <v>5</v>
      </c>
      <c r="G80" s="2" t="s">
        <v>159</v>
      </c>
      <c r="H80" s="2" t="s">
        <v>157</v>
      </c>
    </row>
    <row r="81" spans="1:8" ht="29.1">
      <c r="A81" s="2" t="s">
        <v>85</v>
      </c>
      <c r="B81" s="2" t="s">
        <v>94</v>
      </c>
      <c r="C81" s="2" t="s">
        <v>160</v>
      </c>
      <c r="D81" s="2" t="s">
        <v>161</v>
      </c>
      <c r="E81" s="2" t="s">
        <v>168</v>
      </c>
      <c r="F81" s="2">
        <v>1</v>
      </c>
      <c r="G81" s="2" t="s">
        <v>162</v>
      </c>
      <c r="H81" s="2" t="s">
        <v>163</v>
      </c>
    </row>
    <row r="82" spans="1:8">
      <c r="A82" s="2" t="s">
        <v>85</v>
      </c>
      <c r="B82" s="2" t="s">
        <v>95</v>
      </c>
      <c r="C82" s="2" t="s">
        <v>154</v>
      </c>
      <c r="D82" s="2" t="s">
        <v>27</v>
      </c>
      <c r="E82" s="2" t="s">
        <v>52</v>
      </c>
      <c r="F82" s="2">
        <v>3</v>
      </c>
      <c r="G82" s="2" t="s">
        <v>155</v>
      </c>
      <c r="H82" s="2" t="s">
        <v>156</v>
      </c>
    </row>
    <row r="83" spans="1:8" ht="29.1">
      <c r="A83" s="2" t="s">
        <v>85</v>
      </c>
      <c r="B83" s="2" t="s">
        <v>95</v>
      </c>
      <c r="C83" s="2" t="s">
        <v>154</v>
      </c>
      <c r="D83" s="2" t="s">
        <v>28</v>
      </c>
      <c r="E83" s="2" t="s">
        <v>84</v>
      </c>
      <c r="F83" s="2">
        <v>3</v>
      </c>
      <c r="G83" s="2" t="s">
        <v>155</v>
      </c>
      <c r="H83" s="2" t="s">
        <v>157</v>
      </c>
    </row>
    <row r="84" spans="1:8">
      <c r="A84" s="2" t="s">
        <v>85</v>
      </c>
      <c r="B84" s="2" t="s">
        <v>95</v>
      </c>
      <c r="C84" s="2" t="s">
        <v>158</v>
      </c>
      <c r="D84" s="2" t="s">
        <v>27</v>
      </c>
      <c r="E84" s="2" t="s">
        <v>52</v>
      </c>
      <c r="F84" s="2">
        <v>5</v>
      </c>
      <c r="G84" s="2" t="s">
        <v>159</v>
      </c>
      <c r="H84" s="2" t="s">
        <v>156</v>
      </c>
    </row>
    <row r="85" spans="1:8" ht="29.1">
      <c r="A85" s="2" t="s">
        <v>85</v>
      </c>
      <c r="B85" s="2" t="s">
        <v>95</v>
      </c>
      <c r="C85" s="2" t="s">
        <v>158</v>
      </c>
      <c r="D85" s="2" t="s">
        <v>28</v>
      </c>
      <c r="E85" s="2" t="s">
        <v>84</v>
      </c>
      <c r="F85" s="2">
        <v>5</v>
      </c>
      <c r="G85" s="2" t="s">
        <v>159</v>
      </c>
      <c r="H85" s="2" t="s">
        <v>157</v>
      </c>
    </row>
    <row r="86" spans="1:8" ht="29.1">
      <c r="A86" s="2" t="s">
        <v>85</v>
      </c>
      <c r="B86" s="2" t="s">
        <v>95</v>
      </c>
      <c r="C86" s="2" t="s">
        <v>160</v>
      </c>
      <c r="D86" s="2" t="s">
        <v>161</v>
      </c>
      <c r="E86" s="2" t="s">
        <v>63</v>
      </c>
      <c r="F86" s="2">
        <v>1</v>
      </c>
      <c r="G86" s="2" t="s">
        <v>162</v>
      </c>
      <c r="H86" s="2" t="s">
        <v>163</v>
      </c>
    </row>
    <row r="87" spans="1:8">
      <c r="A87" s="2" t="s">
        <v>85</v>
      </c>
      <c r="B87" s="2" t="s">
        <v>96</v>
      </c>
      <c r="C87" s="2" t="s">
        <v>154</v>
      </c>
      <c r="D87" s="2" t="s">
        <v>27</v>
      </c>
      <c r="E87" s="2" t="s">
        <v>91</v>
      </c>
      <c r="F87" s="2">
        <v>3</v>
      </c>
      <c r="G87" s="2" t="s">
        <v>155</v>
      </c>
      <c r="H87" s="2" t="s">
        <v>156</v>
      </c>
    </row>
    <row r="88" spans="1:8" ht="29.1">
      <c r="A88" s="2" t="s">
        <v>85</v>
      </c>
      <c r="B88" s="2" t="s">
        <v>96</v>
      </c>
      <c r="C88" s="2" t="s">
        <v>154</v>
      </c>
      <c r="D88" s="2" t="s">
        <v>28</v>
      </c>
      <c r="E88" s="2" t="s">
        <v>98</v>
      </c>
      <c r="F88" s="2">
        <v>3</v>
      </c>
      <c r="G88" s="2" t="s">
        <v>155</v>
      </c>
      <c r="H88" s="2" t="s">
        <v>157</v>
      </c>
    </row>
    <row r="89" spans="1:8">
      <c r="A89" s="2" t="s">
        <v>85</v>
      </c>
      <c r="B89" s="2" t="s">
        <v>96</v>
      </c>
      <c r="C89" s="2" t="s">
        <v>158</v>
      </c>
      <c r="D89" s="2" t="s">
        <v>27</v>
      </c>
      <c r="E89" s="2" t="s">
        <v>91</v>
      </c>
      <c r="F89" s="2">
        <v>5</v>
      </c>
      <c r="G89" s="2" t="s">
        <v>159</v>
      </c>
      <c r="H89" s="2" t="s">
        <v>156</v>
      </c>
    </row>
    <row r="90" spans="1:8" ht="29.1">
      <c r="A90" s="2" t="s">
        <v>85</v>
      </c>
      <c r="B90" s="2" t="s">
        <v>96</v>
      </c>
      <c r="C90" s="2" t="s">
        <v>158</v>
      </c>
      <c r="D90" s="2" t="s">
        <v>28</v>
      </c>
      <c r="E90" s="2" t="s">
        <v>98</v>
      </c>
      <c r="F90" s="2">
        <v>5</v>
      </c>
      <c r="G90" s="2" t="s">
        <v>159</v>
      </c>
      <c r="H90" s="2" t="s">
        <v>157</v>
      </c>
    </row>
    <row r="91" spans="1:8" ht="29.1">
      <c r="A91" s="2" t="s">
        <v>85</v>
      </c>
      <c r="B91" s="2" t="s">
        <v>96</v>
      </c>
      <c r="C91" s="2" t="s">
        <v>160</v>
      </c>
      <c r="D91" s="2" t="s">
        <v>161</v>
      </c>
      <c r="E91" s="2" t="s">
        <v>169</v>
      </c>
      <c r="F91" s="2">
        <v>1</v>
      </c>
      <c r="G91" s="2" t="s">
        <v>162</v>
      </c>
      <c r="H91" s="2" t="s">
        <v>163</v>
      </c>
    </row>
    <row r="92" spans="1:8">
      <c r="A92" s="2" t="s">
        <v>85</v>
      </c>
      <c r="B92" s="2" t="s">
        <v>99</v>
      </c>
      <c r="C92" s="2" t="s">
        <v>154</v>
      </c>
      <c r="D92" s="2" t="s">
        <v>27</v>
      </c>
      <c r="E92" s="2" t="s">
        <v>91</v>
      </c>
      <c r="F92" s="2">
        <v>3</v>
      </c>
      <c r="G92" s="2" t="s">
        <v>155</v>
      </c>
      <c r="H92" s="2" t="s">
        <v>156</v>
      </c>
    </row>
    <row r="93" spans="1:8" ht="29.1">
      <c r="A93" s="2" t="s">
        <v>85</v>
      </c>
      <c r="B93" s="2" t="s">
        <v>99</v>
      </c>
      <c r="C93" s="2" t="s">
        <v>154</v>
      </c>
      <c r="D93" s="2" t="s">
        <v>28</v>
      </c>
      <c r="E93" s="2" t="s">
        <v>79</v>
      </c>
      <c r="F93" s="2">
        <v>3</v>
      </c>
      <c r="G93" s="2" t="s">
        <v>155</v>
      </c>
      <c r="H93" s="2" t="s">
        <v>157</v>
      </c>
    </row>
    <row r="94" spans="1:8">
      <c r="A94" s="2" t="s">
        <v>85</v>
      </c>
      <c r="B94" s="2" t="s">
        <v>99</v>
      </c>
      <c r="C94" s="2" t="s">
        <v>158</v>
      </c>
      <c r="D94" s="2" t="s">
        <v>27</v>
      </c>
      <c r="E94" s="2" t="s">
        <v>91</v>
      </c>
      <c r="F94" s="2">
        <v>5</v>
      </c>
      <c r="G94" s="2" t="s">
        <v>159</v>
      </c>
      <c r="H94" s="2" t="s">
        <v>156</v>
      </c>
    </row>
    <row r="95" spans="1:8" ht="29.1">
      <c r="A95" s="2" t="s">
        <v>85</v>
      </c>
      <c r="B95" s="2" t="s">
        <v>99</v>
      </c>
      <c r="C95" s="2" t="s">
        <v>158</v>
      </c>
      <c r="D95" s="2" t="s">
        <v>28</v>
      </c>
      <c r="E95" s="2" t="s">
        <v>79</v>
      </c>
      <c r="F95" s="2">
        <v>5</v>
      </c>
      <c r="G95" s="2" t="s">
        <v>159</v>
      </c>
      <c r="H95" s="2" t="s">
        <v>157</v>
      </c>
    </row>
    <row r="96" spans="1:8" ht="29.1">
      <c r="A96" s="2" t="s">
        <v>85</v>
      </c>
      <c r="B96" s="2" t="s">
        <v>99</v>
      </c>
      <c r="C96" s="2" t="s">
        <v>160</v>
      </c>
      <c r="D96" s="2" t="s">
        <v>161</v>
      </c>
      <c r="E96" s="2" t="s">
        <v>168</v>
      </c>
      <c r="F96" s="2">
        <v>1</v>
      </c>
      <c r="G96" s="2" t="s">
        <v>162</v>
      </c>
      <c r="H96" s="2" t="s">
        <v>163</v>
      </c>
    </row>
    <row r="97" spans="1:8">
      <c r="A97" s="2" t="s">
        <v>85</v>
      </c>
      <c r="B97" s="2" t="s">
        <v>100</v>
      </c>
      <c r="C97" s="2" t="s">
        <v>154</v>
      </c>
      <c r="D97" s="2" t="s">
        <v>27</v>
      </c>
      <c r="E97" s="2" t="s">
        <v>91</v>
      </c>
      <c r="F97" s="2">
        <v>3</v>
      </c>
      <c r="G97" s="2" t="s">
        <v>155</v>
      </c>
      <c r="H97" s="2" t="s">
        <v>156</v>
      </c>
    </row>
    <row r="98" spans="1:8" ht="29.1">
      <c r="A98" s="2" t="s">
        <v>85</v>
      </c>
      <c r="B98" s="2" t="s">
        <v>100</v>
      </c>
      <c r="C98" s="2" t="s">
        <v>154</v>
      </c>
      <c r="D98" s="2" t="s">
        <v>28</v>
      </c>
      <c r="E98" s="2" t="s">
        <v>79</v>
      </c>
      <c r="F98" s="2">
        <v>3</v>
      </c>
      <c r="G98" s="2" t="s">
        <v>155</v>
      </c>
      <c r="H98" s="2" t="s">
        <v>157</v>
      </c>
    </row>
    <row r="99" spans="1:8">
      <c r="A99" s="2" t="s">
        <v>85</v>
      </c>
      <c r="B99" s="2" t="s">
        <v>100</v>
      </c>
      <c r="C99" s="2" t="s">
        <v>158</v>
      </c>
      <c r="D99" s="2" t="s">
        <v>27</v>
      </c>
      <c r="E99" s="2" t="s">
        <v>91</v>
      </c>
      <c r="F99" s="2">
        <v>5</v>
      </c>
      <c r="G99" s="2" t="s">
        <v>159</v>
      </c>
      <c r="H99" s="2" t="s">
        <v>156</v>
      </c>
    </row>
    <row r="100" spans="1:8" ht="29.1">
      <c r="A100" s="2" t="s">
        <v>85</v>
      </c>
      <c r="B100" s="2" t="s">
        <v>100</v>
      </c>
      <c r="C100" s="2" t="s">
        <v>158</v>
      </c>
      <c r="D100" s="2" t="s">
        <v>28</v>
      </c>
      <c r="E100" s="2" t="s">
        <v>79</v>
      </c>
      <c r="F100" s="2">
        <v>5</v>
      </c>
      <c r="G100" s="2" t="s">
        <v>159</v>
      </c>
      <c r="H100" s="2" t="s">
        <v>157</v>
      </c>
    </row>
    <row r="101" spans="1:8" ht="29.1">
      <c r="A101" s="2" t="s">
        <v>85</v>
      </c>
      <c r="B101" s="2" t="s">
        <v>100</v>
      </c>
      <c r="C101" s="2" t="s">
        <v>160</v>
      </c>
      <c r="D101" s="2" t="s">
        <v>161</v>
      </c>
      <c r="E101" s="2" t="s">
        <v>168</v>
      </c>
      <c r="F101" s="2">
        <v>1</v>
      </c>
      <c r="G101" s="2" t="s">
        <v>162</v>
      </c>
      <c r="H101" s="2" t="s">
        <v>163</v>
      </c>
    </row>
    <row r="102" spans="1:8">
      <c r="A102" s="2" t="s">
        <v>85</v>
      </c>
      <c r="B102" s="2" t="s">
        <v>101</v>
      </c>
      <c r="C102" s="2" t="s">
        <v>154</v>
      </c>
      <c r="D102" s="2" t="s">
        <v>27</v>
      </c>
      <c r="E102" s="2" t="s">
        <v>52</v>
      </c>
      <c r="F102" s="2">
        <v>3</v>
      </c>
      <c r="G102" s="2" t="s">
        <v>155</v>
      </c>
      <c r="H102" s="2" t="s">
        <v>156</v>
      </c>
    </row>
    <row r="103" spans="1:8" ht="29.1">
      <c r="A103" s="2" t="s">
        <v>85</v>
      </c>
      <c r="B103" s="2" t="s">
        <v>101</v>
      </c>
      <c r="C103" s="2" t="s">
        <v>154</v>
      </c>
      <c r="D103" s="2" t="s">
        <v>28</v>
      </c>
      <c r="E103" s="2" t="s">
        <v>103</v>
      </c>
      <c r="F103" s="2">
        <v>3</v>
      </c>
      <c r="G103" s="2" t="s">
        <v>155</v>
      </c>
      <c r="H103" s="2" t="s">
        <v>157</v>
      </c>
    </row>
    <row r="104" spans="1:8">
      <c r="A104" s="2" t="s">
        <v>85</v>
      </c>
      <c r="B104" s="2" t="s">
        <v>101</v>
      </c>
      <c r="C104" s="2" t="s">
        <v>158</v>
      </c>
      <c r="D104" s="2" t="s">
        <v>27</v>
      </c>
      <c r="E104" s="2" t="s">
        <v>52</v>
      </c>
      <c r="F104" s="2">
        <v>5</v>
      </c>
      <c r="G104" s="2" t="s">
        <v>159</v>
      </c>
      <c r="H104" s="2" t="s">
        <v>156</v>
      </c>
    </row>
    <row r="105" spans="1:8" ht="29.1">
      <c r="A105" s="2" t="s">
        <v>85</v>
      </c>
      <c r="B105" s="2" t="s">
        <v>101</v>
      </c>
      <c r="C105" s="2" t="s">
        <v>158</v>
      </c>
      <c r="D105" s="2" t="s">
        <v>28</v>
      </c>
      <c r="E105" s="2" t="s">
        <v>103</v>
      </c>
      <c r="F105" s="2">
        <v>5</v>
      </c>
      <c r="G105" s="2" t="s">
        <v>159</v>
      </c>
      <c r="H105" s="2" t="s">
        <v>157</v>
      </c>
    </row>
    <row r="106" spans="1:8">
      <c r="A106" s="2" t="s">
        <v>85</v>
      </c>
      <c r="B106" s="2" t="s">
        <v>101</v>
      </c>
      <c r="C106" s="2" t="s">
        <v>160</v>
      </c>
      <c r="D106" s="2" t="s">
        <v>161</v>
      </c>
      <c r="E106" s="2" t="s">
        <v>166</v>
      </c>
      <c r="F106" s="2">
        <v>1</v>
      </c>
      <c r="G106" s="2" t="s">
        <v>162</v>
      </c>
      <c r="H106" s="2" t="s">
        <v>167</v>
      </c>
    </row>
    <row r="107" spans="1:8">
      <c r="A107" s="2" t="s">
        <v>85</v>
      </c>
      <c r="B107" s="2" t="s">
        <v>104</v>
      </c>
      <c r="C107" s="2" t="s">
        <v>154</v>
      </c>
      <c r="D107" s="2" t="s">
        <v>27</v>
      </c>
      <c r="E107" s="2" t="s">
        <v>91</v>
      </c>
      <c r="F107" s="2">
        <v>3</v>
      </c>
      <c r="G107" s="2" t="s">
        <v>155</v>
      </c>
      <c r="H107" s="2" t="s">
        <v>156</v>
      </c>
    </row>
    <row r="108" spans="1:8" ht="29.1">
      <c r="A108" s="2" t="s">
        <v>85</v>
      </c>
      <c r="B108" s="2" t="s">
        <v>104</v>
      </c>
      <c r="C108" s="2" t="s">
        <v>154</v>
      </c>
      <c r="D108" s="2" t="s">
        <v>28</v>
      </c>
      <c r="E108" s="2" t="s">
        <v>79</v>
      </c>
      <c r="F108" s="2">
        <v>3</v>
      </c>
      <c r="G108" s="2" t="s">
        <v>155</v>
      </c>
      <c r="H108" s="2" t="s">
        <v>157</v>
      </c>
    </row>
    <row r="109" spans="1:8">
      <c r="A109" s="2" t="s">
        <v>85</v>
      </c>
      <c r="B109" s="2" t="s">
        <v>104</v>
      </c>
      <c r="C109" s="2" t="s">
        <v>158</v>
      </c>
      <c r="D109" s="2" t="s">
        <v>27</v>
      </c>
      <c r="E109" s="2" t="s">
        <v>91</v>
      </c>
      <c r="F109" s="2">
        <v>5</v>
      </c>
      <c r="G109" s="2" t="s">
        <v>159</v>
      </c>
      <c r="H109" s="2" t="s">
        <v>156</v>
      </c>
    </row>
    <row r="110" spans="1:8" ht="29.1">
      <c r="A110" s="2" t="s">
        <v>85</v>
      </c>
      <c r="B110" s="2" t="s">
        <v>104</v>
      </c>
      <c r="C110" s="2" t="s">
        <v>158</v>
      </c>
      <c r="D110" s="2" t="s">
        <v>28</v>
      </c>
      <c r="E110" s="2" t="s">
        <v>79</v>
      </c>
      <c r="F110" s="2">
        <v>5</v>
      </c>
      <c r="G110" s="2" t="s">
        <v>159</v>
      </c>
      <c r="H110" s="2" t="s">
        <v>157</v>
      </c>
    </row>
    <row r="111" spans="1:8" ht="29.1">
      <c r="A111" s="2" t="s">
        <v>85</v>
      </c>
      <c r="B111" s="2" t="s">
        <v>104</v>
      </c>
      <c r="C111" s="2" t="s">
        <v>160</v>
      </c>
      <c r="D111" s="2" t="s">
        <v>161</v>
      </c>
      <c r="E111" s="2" t="s">
        <v>168</v>
      </c>
      <c r="F111" s="2">
        <v>1</v>
      </c>
      <c r="G111" s="2" t="s">
        <v>162</v>
      </c>
      <c r="H111" s="2" t="s">
        <v>163</v>
      </c>
    </row>
    <row r="112" spans="1:8">
      <c r="A112" s="2" t="s">
        <v>85</v>
      </c>
      <c r="B112" s="2" t="s">
        <v>105</v>
      </c>
      <c r="C112" s="2" t="s">
        <v>154</v>
      </c>
      <c r="D112" s="2" t="s">
        <v>27</v>
      </c>
      <c r="E112" s="2" t="s">
        <v>73</v>
      </c>
      <c r="F112" s="2">
        <v>3</v>
      </c>
      <c r="G112" s="2" t="s">
        <v>155</v>
      </c>
      <c r="H112" s="2" t="s">
        <v>156</v>
      </c>
    </row>
    <row r="113" spans="1:8" ht="29.1">
      <c r="A113" s="2" t="s">
        <v>85</v>
      </c>
      <c r="B113" s="2" t="s">
        <v>105</v>
      </c>
      <c r="C113" s="2" t="s">
        <v>154</v>
      </c>
      <c r="D113" s="2" t="s">
        <v>28</v>
      </c>
      <c r="E113" s="2" t="s">
        <v>67</v>
      </c>
      <c r="F113" s="2">
        <v>3</v>
      </c>
      <c r="G113" s="2" t="s">
        <v>155</v>
      </c>
      <c r="H113" s="2" t="s">
        <v>157</v>
      </c>
    </row>
    <row r="114" spans="1:8">
      <c r="A114" s="2" t="s">
        <v>85</v>
      </c>
      <c r="B114" s="2" t="s">
        <v>105</v>
      </c>
      <c r="C114" s="2" t="s">
        <v>158</v>
      </c>
      <c r="D114" s="2" t="s">
        <v>27</v>
      </c>
      <c r="E114" s="2" t="s">
        <v>73</v>
      </c>
      <c r="F114" s="2">
        <v>5</v>
      </c>
      <c r="G114" s="2" t="s">
        <v>159</v>
      </c>
      <c r="H114" s="2" t="s">
        <v>156</v>
      </c>
    </row>
    <row r="115" spans="1:8" ht="29.1">
      <c r="A115" s="2" t="s">
        <v>85</v>
      </c>
      <c r="B115" s="2" t="s">
        <v>105</v>
      </c>
      <c r="C115" s="2" t="s">
        <v>158</v>
      </c>
      <c r="D115" s="2" t="s">
        <v>28</v>
      </c>
      <c r="E115" s="2" t="s">
        <v>67</v>
      </c>
      <c r="F115" s="2">
        <v>5</v>
      </c>
      <c r="G115" s="2" t="s">
        <v>159</v>
      </c>
      <c r="H115" s="2" t="s">
        <v>157</v>
      </c>
    </row>
    <row r="116" spans="1:8" ht="29.1">
      <c r="A116" s="2" t="s">
        <v>85</v>
      </c>
      <c r="B116" s="2" t="s">
        <v>105</v>
      </c>
      <c r="C116" s="2" t="s">
        <v>160</v>
      </c>
      <c r="D116" s="2" t="s">
        <v>161</v>
      </c>
      <c r="E116" s="2" t="s">
        <v>170</v>
      </c>
      <c r="F116" s="2">
        <v>1</v>
      </c>
      <c r="G116" s="2" t="s">
        <v>162</v>
      </c>
      <c r="H116" s="2" t="s">
        <v>163</v>
      </c>
    </row>
    <row r="117" spans="1:8">
      <c r="A117" s="2" t="s">
        <v>85</v>
      </c>
      <c r="B117" s="2" t="s">
        <v>106</v>
      </c>
      <c r="C117" s="2" t="s">
        <v>154</v>
      </c>
      <c r="D117" s="2" t="s">
        <v>27</v>
      </c>
      <c r="E117" s="2" t="s">
        <v>91</v>
      </c>
      <c r="F117" s="2">
        <v>3</v>
      </c>
      <c r="G117" s="2" t="s">
        <v>155</v>
      </c>
      <c r="H117" s="2" t="s">
        <v>156</v>
      </c>
    </row>
    <row r="118" spans="1:8" ht="29.1">
      <c r="A118" s="2" t="s">
        <v>85</v>
      </c>
      <c r="B118" s="2" t="s">
        <v>106</v>
      </c>
      <c r="C118" s="2" t="s">
        <v>154</v>
      </c>
      <c r="D118" s="2" t="s">
        <v>28</v>
      </c>
      <c r="E118" s="2" t="s">
        <v>98</v>
      </c>
      <c r="F118" s="2">
        <v>3</v>
      </c>
      <c r="G118" s="2" t="s">
        <v>155</v>
      </c>
      <c r="H118" s="2" t="s">
        <v>157</v>
      </c>
    </row>
    <row r="119" spans="1:8">
      <c r="A119" s="2" t="s">
        <v>85</v>
      </c>
      <c r="B119" s="2" t="s">
        <v>106</v>
      </c>
      <c r="C119" s="2" t="s">
        <v>158</v>
      </c>
      <c r="D119" s="2" t="s">
        <v>27</v>
      </c>
      <c r="E119" s="2" t="s">
        <v>91</v>
      </c>
      <c r="F119" s="2">
        <v>5</v>
      </c>
      <c r="G119" s="2" t="s">
        <v>159</v>
      </c>
      <c r="H119" s="2" t="s">
        <v>156</v>
      </c>
    </row>
    <row r="120" spans="1:8" ht="29.1">
      <c r="A120" s="2" t="s">
        <v>85</v>
      </c>
      <c r="B120" s="2" t="s">
        <v>106</v>
      </c>
      <c r="C120" s="2" t="s">
        <v>158</v>
      </c>
      <c r="D120" s="2" t="s">
        <v>28</v>
      </c>
      <c r="E120" s="2" t="s">
        <v>98</v>
      </c>
      <c r="F120" s="2">
        <v>5</v>
      </c>
      <c r="G120" s="2" t="s">
        <v>159</v>
      </c>
      <c r="H120" s="2" t="s">
        <v>157</v>
      </c>
    </row>
    <row r="121" spans="1:8" ht="29.1">
      <c r="A121" s="2" t="s">
        <v>85</v>
      </c>
      <c r="B121" s="2" t="s">
        <v>106</v>
      </c>
      <c r="C121" s="2" t="s">
        <v>160</v>
      </c>
      <c r="D121" s="2" t="s">
        <v>161</v>
      </c>
      <c r="E121" s="2" t="s">
        <v>169</v>
      </c>
      <c r="F121" s="2">
        <v>1</v>
      </c>
      <c r="G121" s="2" t="s">
        <v>162</v>
      </c>
      <c r="H121" s="2" t="s">
        <v>163</v>
      </c>
    </row>
    <row r="122" spans="1:8">
      <c r="A122" s="2" t="s">
        <v>85</v>
      </c>
      <c r="B122" s="2" t="s">
        <v>107</v>
      </c>
      <c r="C122" s="2" t="s">
        <v>154</v>
      </c>
      <c r="D122" s="2" t="s">
        <v>27</v>
      </c>
      <c r="E122" s="2" t="s">
        <v>109</v>
      </c>
      <c r="F122" s="2">
        <v>3</v>
      </c>
      <c r="G122" s="2" t="s">
        <v>155</v>
      </c>
      <c r="H122" s="2" t="s">
        <v>156</v>
      </c>
    </row>
    <row r="123" spans="1:8" ht="29.1">
      <c r="A123" s="2" t="s">
        <v>85</v>
      </c>
      <c r="B123" s="2" t="s">
        <v>107</v>
      </c>
      <c r="C123" s="2" t="s">
        <v>154</v>
      </c>
      <c r="D123" s="2" t="s">
        <v>28</v>
      </c>
      <c r="E123" s="2" t="s">
        <v>84</v>
      </c>
      <c r="F123" s="2">
        <v>3</v>
      </c>
      <c r="G123" s="2" t="s">
        <v>155</v>
      </c>
      <c r="H123" s="2" t="s">
        <v>157</v>
      </c>
    </row>
    <row r="124" spans="1:8">
      <c r="A124" s="2" t="s">
        <v>85</v>
      </c>
      <c r="B124" s="2" t="s">
        <v>107</v>
      </c>
      <c r="C124" s="2" t="s">
        <v>158</v>
      </c>
      <c r="D124" s="2" t="s">
        <v>27</v>
      </c>
      <c r="E124" s="2" t="s">
        <v>109</v>
      </c>
      <c r="F124" s="2">
        <v>5</v>
      </c>
      <c r="G124" s="2" t="s">
        <v>159</v>
      </c>
      <c r="H124" s="2" t="s">
        <v>156</v>
      </c>
    </row>
    <row r="125" spans="1:8" ht="29.1">
      <c r="A125" s="2" t="s">
        <v>85</v>
      </c>
      <c r="B125" s="2" t="s">
        <v>107</v>
      </c>
      <c r="C125" s="2" t="s">
        <v>158</v>
      </c>
      <c r="D125" s="2" t="s">
        <v>28</v>
      </c>
      <c r="E125" s="2" t="s">
        <v>84</v>
      </c>
      <c r="F125" s="2">
        <v>5</v>
      </c>
      <c r="G125" s="2" t="s">
        <v>159</v>
      </c>
      <c r="H125" s="2" t="s">
        <v>157</v>
      </c>
    </row>
    <row r="126" spans="1:8" ht="29.1">
      <c r="A126" s="2" t="s">
        <v>85</v>
      </c>
      <c r="B126" s="2" t="s">
        <v>107</v>
      </c>
      <c r="C126" s="2" t="s">
        <v>160</v>
      </c>
      <c r="D126" s="2" t="s">
        <v>161</v>
      </c>
      <c r="E126" s="2" t="s">
        <v>171</v>
      </c>
      <c r="F126" s="2">
        <v>1</v>
      </c>
      <c r="G126" s="2" t="s">
        <v>162</v>
      </c>
      <c r="H126" s="2" t="s">
        <v>163</v>
      </c>
    </row>
    <row r="127" spans="1:8">
      <c r="A127" s="2" t="s">
        <v>85</v>
      </c>
      <c r="B127" s="2" t="s">
        <v>110</v>
      </c>
      <c r="C127" s="2" t="s">
        <v>154</v>
      </c>
      <c r="D127" s="2" t="s">
        <v>27</v>
      </c>
      <c r="E127" s="2" t="s">
        <v>91</v>
      </c>
      <c r="F127" s="2">
        <v>3</v>
      </c>
      <c r="G127" s="2" t="s">
        <v>155</v>
      </c>
      <c r="H127" s="2" t="s">
        <v>156</v>
      </c>
    </row>
    <row r="128" spans="1:8" ht="29.1">
      <c r="A128" s="2" t="s">
        <v>85</v>
      </c>
      <c r="B128" s="2" t="s">
        <v>110</v>
      </c>
      <c r="C128" s="2" t="s">
        <v>154</v>
      </c>
      <c r="D128" s="2" t="s">
        <v>28</v>
      </c>
      <c r="E128" s="2" t="s">
        <v>79</v>
      </c>
      <c r="F128" s="2">
        <v>3</v>
      </c>
      <c r="G128" s="2" t="s">
        <v>155</v>
      </c>
      <c r="H128" s="2" t="s">
        <v>157</v>
      </c>
    </row>
    <row r="129" spans="1:8">
      <c r="A129" s="2" t="s">
        <v>85</v>
      </c>
      <c r="B129" s="2" t="s">
        <v>110</v>
      </c>
      <c r="C129" s="2" t="s">
        <v>158</v>
      </c>
      <c r="D129" s="2" t="s">
        <v>27</v>
      </c>
      <c r="E129" s="2" t="s">
        <v>91</v>
      </c>
      <c r="F129" s="2">
        <v>5</v>
      </c>
      <c r="G129" s="2" t="s">
        <v>159</v>
      </c>
      <c r="H129" s="2" t="s">
        <v>156</v>
      </c>
    </row>
    <row r="130" spans="1:8" ht="29.1">
      <c r="A130" s="2" t="s">
        <v>85</v>
      </c>
      <c r="B130" s="2" t="s">
        <v>110</v>
      </c>
      <c r="C130" s="2" t="s">
        <v>158</v>
      </c>
      <c r="D130" s="2" t="s">
        <v>28</v>
      </c>
      <c r="E130" s="2" t="s">
        <v>79</v>
      </c>
      <c r="F130" s="2">
        <v>5</v>
      </c>
      <c r="G130" s="2" t="s">
        <v>159</v>
      </c>
      <c r="H130" s="2" t="s">
        <v>157</v>
      </c>
    </row>
    <row r="131" spans="1:8" ht="29.1">
      <c r="A131" s="2" t="s">
        <v>85</v>
      </c>
      <c r="B131" s="2" t="s">
        <v>110</v>
      </c>
      <c r="C131" s="2" t="s">
        <v>160</v>
      </c>
      <c r="D131" s="2" t="s">
        <v>161</v>
      </c>
      <c r="E131" s="2" t="s">
        <v>168</v>
      </c>
      <c r="F131" s="2">
        <v>1</v>
      </c>
      <c r="G131" s="2" t="s">
        <v>162</v>
      </c>
      <c r="H131" s="2" t="s">
        <v>163</v>
      </c>
    </row>
    <row r="132" spans="1:8">
      <c r="A132" s="2" t="s">
        <v>85</v>
      </c>
      <c r="B132" s="2" t="s">
        <v>111</v>
      </c>
      <c r="C132" s="2" t="s">
        <v>154</v>
      </c>
      <c r="D132" s="2" t="s">
        <v>27</v>
      </c>
      <c r="E132" s="2" t="s">
        <v>91</v>
      </c>
      <c r="F132" s="2">
        <v>3</v>
      </c>
      <c r="G132" s="2" t="s">
        <v>155</v>
      </c>
      <c r="H132" s="2" t="s">
        <v>156</v>
      </c>
    </row>
    <row r="133" spans="1:8" ht="29.1">
      <c r="A133" s="2" t="s">
        <v>85</v>
      </c>
      <c r="B133" s="2" t="s">
        <v>111</v>
      </c>
      <c r="C133" s="2" t="s">
        <v>154</v>
      </c>
      <c r="D133" s="2" t="s">
        <v>28</v>
      </c>
      <c r="E133" s="2" t="s">
        <v>79</v>
      </c>
      <c r="F133" s="2">
        <v>3</v>
      </c>
      <c r="G133" s="2" t="s">
        <v>155</v>
      </c>
      <c r="H133" s="2" t="s">
        <v>157</v>
      </c>
    </row>
    <row r="134" spans="1:8">
      <c r="A134" s="2" t="s">
        <v>85</v>
      </c>
      <c r="B134" s="2" t="s">
        <v>111</v>
      </c>
      <c r="C134" s="2" t="s">
        <v>158</v>
      </c>
      <c r="D134" s="2" t="s">
        <v>27</v>
      </c>
      <c r="E134" s="2" t="s">
        <v>91</v>
      </c>
      <c r="F134" s="2">
        <v>5</v>
      </c>
      <c r="G134" s="2" t="s">
        <v>159</v>
      </c>
      <c r="H134" s="2" t="s">
        <v>156</v>
      </c>
    </row>
    <row r="135" spans="1:8" ht="29.1">
      <c r="A135" s="2" t="s">
        <v>85</v>
      </c>
      <c r="B135" s="2" t="s">
        <v>111</v>
      </c>
      <c r="C135" s="2" t="s">
        <v>158</v>
      </c>
      <c r="D135" s="2" t="s">
        <v>28</v>
      </c>
      <c r="E135" s="2" t="s">
        <v>79</v>
      </c>
      <c r="F135" s="2">
        <v>5</v>
      </c>
      <c r="G135" s="2" t="s">
        <v>159</v>
      </c>
      <c r="H135" s="2" t="s">
        <v>157</v>
      </c>
    </row>
    <row r="136" spans="1:8" ht="29.1">
      <c r="A136" s="2" t="s">
        <v>85</v>
      </c>
      <c r="B136" s="2" t="s">
        <v>111</v>
      </c>
      <c r="C136" s="2" t="s">
        <v>160</v>
      </c>
      <c r="D136" s="2" t="s">
        <v>161</v>
      </c>
      <c r="E136" s="2" t="s">
        <v>168</v>
      </c>
      <c r="F136" s="2">
        <v>1</v>
      </c>
      <c r="G136" s="2" t="s">
        <v>162</v>
      </c>
      <c r="H136" s="2" t="s">
        <v>163</v>
      </c>
    </row>
    <row r="137" spans="1:8">
      <c r="A137" s="2" t="s">
        <v>85</v>
      </c>
      <c r="B137" s="2" t="s">
        <v>112</v>
      </c>
      <c r="C137" s="2" t="s">
        <v>154</v>
      </c>
      <c r="D137" s="2" t="s">
        <v>27</v>
      </c>
      <c r="E137" s="2" t="s">
        <v>91</v>
      </c>
      <c r="F137" s="2">
        <v>3</v>
      </c>
      <c r="G137" s="2" t="s">
        <v>155</v>
      </c>
      <c r="H137" s="2" t="s">
        <v>156</v>
      </c>
    </row>
    <row r="138" spans="1:8" ht="29.1">
      <c r="A138" s="2" t="s">
        <v>85</v>
      </c>
      <c r="B138" s="2" t="s">
        <v>112</v>
      </c>
      <c r="C138" s="2" t="s">
        <v>154</v>
      </c>
      <c r="D138" s="2" t="s">
        <v>28</v>
      </c>
      <c r="E138" s="2" t="s">
        <v>79</v>
      </c>
      <c r="F138" s="2">
        <v>3</v>
      </c>
      <c r="G138" s="2" t="s">
        <v>155</v>
      </c>
      <c r="H138" s="2" t="s">
        <v>157</v>
      </c>
    </row>
    <row r="139" spans="1:8">
      <c r="A139" s="2" t="s">
        <v>85</v>
      </c>
      <c r="B139" s="2" t="s">
        <v>112</v>
      </c>
      <c r="C139" s="2" t="s">
        <v>158</v>
      </c>
      <c r="D139" s="2" t="s">
        <v>27</v>
      </c>
      <c r="E139" s="2" t="s">
        <v>91</v>
      </c>
      <c r="F139" s="2">
        <v>5</v>
      </c>
      <c r="G139" s="2" t="s">
        <v>159</v>
      </c>
      <c r="H139" s="2" t="s">
        <v>156</v>
      </c>
    </row>
    <row r="140" spans="1:8" ht="29.1">
      <c r="A140" s="2" t="s">
        <v>85</v>
      </c>
      <c r="B140" s="2" t="s">
        <v>112</v>
      </c>
      <c r="C140" s="2" t="s">
        <v>158</v>
      </c>
      <c r="D140" s="2" t="s">
        <v>28</v>
      </c>
      <c r="E140" s="2" t="s">
        <v>79</v>
      </c>
      <c r="F140" s="2">
        <v>5</v>
      </c>
      <c r="G140" s="2" t="s">
        <v>159</v>
      </c>
      <c r="H140" s="2" t="s">
        <v>157</v>
      </c>
    </row>
    <row r="141" spans="1:8" ht="29.1">
      <c r="A141" s="2" t="s">
        <v>85</v>
      </c>
      <c r="B141" s="2" t="s">
        <v>112</v>
      </c>
      <c r="C141" s="2" t="s">
        <v>160</v>
      </c>
      <c r="D141" s="2" t="s">
        <v>161</v>
      </c>
      <c r="E141" s="2" t="s">
        <v>168</v>
      </c>
      <c r="F141" s="2">
        <v>1</v>
      </c>
      <c r="G141" s="2" t="s">
        <v>162</v>
      </c>
      <c r="H141" s="2" t="s">
        <v>163</v>
      </c>
    </row>
    <row r="142" spans="1:8">
      <c r="A142" s="2" t="s">
        <v>85</v>
      </c>
      <c r="B142" s="2" t="s">
        <v>113</v>
      </c>
      <c r="C142" s="2" t="s">
        <v>154</v>
      </c>
      <c r="D142" s="2" t="s">
        <v>27</v>
      </c>
      <c r="E142" s="2" t="s">
        <v>91</v>
      </c>
      <c r="F142" s="2">
        <v>3</v>
      </c>
      <c r="G142" s="2" t="s">
        <v>155</v>
      </c>
      <c r="H142" s="2" t="s">
        <v>156</v>
      </c>
    </row>
    <row r="143" spans="1:8" ht="29.1">
      <c r="A143" s="2" t="s">
        <v>85</v>
      </c>
      <c r="B143" s="2" t="s">
        <v>113</v>
      </c>
      <c r="C143" s="2" t="s">
        <v>154</v>
      </c>
      <c r="D143" s="2" t="s">
        <v>28</v>
      </c>
      <c r="E143" s="2" t="s">
        <v>79</v>
      </c>
      <c r="F143" s="2">
        <v>3</v>
      </c>
      <c r="G143" s="2" t="s">
        <v>155</v>
      </c>
      <c r="H143" s="2" t="s">
        <v>157</v>
      </c>
    </row>
    <row r="144" spans="1:8">
      <c r="A144" s="2" t="s">
        <v>85</v>
      </c>
      <c r="B144" s="2" t="s">
        <v>113</v>
      </c>
      <c r="C144" s="2" t="s">
        <v>158</v>
      </c>
      <c r="D144" s="2" t="s">
        <v>27</v>
      </c>
      <c r="E144" s="2" t="s">
        <v>91</v>
      </c>
      <c r="F144" s="2">
        <v>5</v>
      </c>
      <c r="G144" s="2" t="s">
        <v>159</v>
      </c>
      <c r="H144" s="2" t="s">
        <v>156</v>
      </c>
    </row>
    <row r="145" spans="1:8" ht="29.1">
      <c r="A145" s="2" t="s">
        <v>85</v>
      </c>
      <c r="B145" s="2" t="s">
        <v>113</v>
      </c>
      <c r="C145" s="2" t="s">
        <v>158</v>
      </c>
      <c r="D145" s="2" t="s">
        <v>28</v>
      </c>
      <c r="E145" s="2" t="s">
        <v>79</v>
      </c>
      <c r="F145" s="2">
        <v>5</v>
      </c>
      <c r="G145" s="2" t="s">
        <v>159</v>
      </c>
      <c r="H145" s="2" t="s">
        <v>157</v>
      </c>
    </row>
    <row r="146" spans="1:8" ht="29.1">
      <c r="A146" s="2" t="s">
        <v>85</v>
      </c>
      <c r="B146" s="2" t="s">
        <v>113</v>
      </c>
      <c r="C146" s="2" t="s">
        <v>160</v>
      </c>
      <c r="D146" s="2" t="s">
        <v>161</v>
      </c>
      <c r="E146" s="2" t="s">
        <v>168</v>
      </c>
      <c r="F146" s="2">
        <v>1</v>
      </c>
      <c r="G146" s="2" t="s">
        <v>162</v>
      </c>
      <c r="H146" s="2" t="s">
        <v>163</v>
      </c>
    </row>
    <row r="147" spans="1:8">
      <c r="A147" s="2" t="s">
        <v>85</v>
      </c>
      <c r="B147" s="2" t="s">
        <v>114</v>
      </c>
      <c r="C147" s="2" t="s">
        <v>154</v>
      </c>
      <c r="D147" s="2" t="s">
        <v>27</v>
      </c>
      <c r="E147" s="2" t="s">
        <v>91</v>
      </c>
      <c r="F147" s="2">
        <v>3</v>
      </c>
      <c r="G147" s="2" t="s">
        <v>155</v>
      </c>
      <c r="H147" s="2" t="s">
        <v>156</v>
      </c>
    </row>
    <row r="148" spans="1:8" ht="29.1">
      <c r="A148" s="2" t="s">
        <v>85</v>
      </c>
      <c r="B148" s="2" t="s">
        <v>114</v>
      </c>
      <c r="C148" s="2" t="s">
        <v>154</v>
      </c>
      <c r="D148" s="2" t="s">
        <v>28</v>
      </c>
      <c r="E148" s="2" t="s">
        <v>79</v>
      </c>
      <c r="F148" s="2">
        <v>3</v>
      </c>
      <c r="G148" s="2" t="s">
        <v>155</v>
      </c>
      <c r="H148" s="2" t="s">
        <v>157</v>
      </c>
    </row>
    <row r="149" spans="1:8">
      <c r="A149" s="2" t="s">
        <v>85</v>
      </c>
      <c r="B149" s="2" t="s">
        <v>114</v>
      </c>
      <c r="C149" s="2" t="s">
        <v>158</v>
      </c>
      <c r="D149" s="2" t="s">
        <v>27</v>
      </c>
      <c r="E149" s="2" t="s">
        <v>91</v>
      </c>
      <c r="F149" s="2">
        <v>5</v>
      </c>
      <c r="G149" s="2" t="s">
        <v>159</v>
      </c>
      <c r="H149" s="2" t="s">
        <v>156</v>
      </c>
    </row>
    <row r="150" spans="1:8" ht="29.1">
      <c r="A150" s="2" t="s">
        <v>85</v>
      </c>
      <c r="B150" s="2" t="s">
        <v>114</v>
      </c>
      <c r="C150" s="2" t="s">
        <v>158</v>
      </c>
      <c r="D150" s="2" t="s">
        <v>28</v>
      </c>
      <c r="E150" s="2" t="s">
        <v>79</v>
      </c>
      <c r="F150" s="2">
        <v>5</v>
      </c>
      <c r="G150" s="2" t="s">
        <v>159</v>
      </c>
      <c r="H150" s="2" t="s">
        <v>157</v>
      </c>
    </row>
    <row r="151" spans="1:8" ht="29.1">
      <c r="A151" s="2" t="s">
        <v>85</v>
      </c>
      <c r="B151" s="2" t="s">
        <v>114</v>
      </c>
      <c r="C151" s="2" t="s">
        <v>160</v>
      </c>
      <c r="D151" s="2" t="s">
        <v>161</v>
      </c>
      <c r="E151" s="2" t="s">
        <v>168</v>
      </c>
      <c r="F151" s="2">
        <v>1</v>
      </c>
      <c r="G151" s="2" t="s">
        <v>162</v>
      </c>
      <c r="H151" s="2" t="s">
        <v>163</v>
      </c>
    </row>
  </sheetData>
  <autoFilter ref="A1:H151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3E4E-1E79-478C-854E-8F8D258F4410}">
  <dimension ref="A1:E278"/>
  <sheetViews>
    <sheetView workbookViewId="0">
      <selection activeCell="D1" sqref="D1:D1048576"/>
    </sheetView>
  </sheetViews>
  <sheetFormatPr defaultColWidth="8.7109375" defaultRowHeight="12.95"/>
  <cols>
    <col min="1" max="1" width="10.7109375" style="33" customWidth="1"/>
    <col min="2" max="2" width="30.140625" style="33" bestFit="1" customWidth="1"/>
    <col min="3" max="3" width="35.85546875" style="33" bestFit="1" customWidth="1"/>
    <col min="4" max="4" width="40.140625" style="33" customWidth="1"/>
    <col min="5" max="5" width="24.85546875" style="33" customWidth="1"/>
    <col min="6" max="16384" width="8.7109375" style="33"/>
  </cols>
  <sheetData>
    <row r="1" spans="1:5" s="36" customFormat="1" ht="18" customHeight="1">
      <c r="A1" s="35" t="s">
        <v>20</v>
      </c>
      <c r="B1" s="35" t="s">
        <v>172</v>
      </c>
      <c r="C1" s="35" t="s">
        <v>173</v>
      </c>
      <c r="D1" s="35" t="s">
        <v>174</v>
      </c>
      <c r="E1" s="35" t="s">
        <v>175</v>
      </c>
    </row>
    <row r="2" spans="1:5">
      <c r="A2" s="34" t="s">
        <v>85</v>
      </c>
      <c r="B2" s="34" t="s">
        <v>176</v>
      </c>
      <c r="C2" s="34" t="s">
        <v>177</v>
      </c>
      <c r="D2" s="34" t="s">
        <v>178</v>
      </c>
      <c r="E2" s="34" t="s">
        <v>179</v>
      </c>
    </row>
    <row r="3" spans="1:5">
      <c r="A3" s="34" t="s">
        <v>85</v>
      </c>
      <c r="B3" s="34" t="s">
        <v>180</v>
      </c>
      <c r="C3" s="34" t="s">
        <v>181</v>
      </c>
      <c r="D3" s="34" t="s">
        <v>182</v>
      </c>
      <c r="E3" s="34" t="s">
        <v>179</v>
      </c>
    </row>
    <row r="4" spans="1:5">
      <c r="A4" s="34" t="s">
        <v>85</v>
      </c>
      <c r="B4" s="34" t="s">
        <v>183</v>
      </c>
      <c r="C4" s="34" t="s">
        <v>184</v>
      </c>
      <c r="D4" s="34" t="s">
        <v>185</v>
      </c>
      <c r="E4" s="34" t="s">
        <v>179</v>
      </c>
    </row>
    <row r="5" spans="1:5">
      <c r="A5" s="34" t="s">
        <v>85</v>
      </c>
      <c r="B5" s="34" t="s">
        <v>186</v>
      </c>
      <c r="C5" s="34" t="s">
        <v>187</v>
      </c>
      <c r="D5" s="34" t="s">
        <v>188</v>
      </c>
      <c r="E5" s="34" t="s">
        <v>189</v>
      </c>
    </row>
    <row r="6" spans="1:5">
      <c r="A6" s="34" t="s">
        <v>85</v>
      </c>
      <c r="B6" s="34" t="s">
        <v>186</v>
      </c>
      <c r="C6" s="34" t="s">
        <v>187</v>
      </c>
      <c r="D6" s="34" t="s">
        <v>190</v>
      </c>
      <c r="E6" s="34" t="s">
        <v>179</v>
      </c>
    </row>
    <row r="7" spans="1:5">
      <c r="A7" s="34" t="s">
        <v>85</v>
      </c>
      <c r="B7" s="34" t="s">
        <v>191</v>
      </c>
      <c r="C7" s="34" t="s">
        <v>192</v>
      </c>
      <c r="D7" s="34" t="s">
        <v>193</v>
      </c>
      <c r="E7" s="34" t="s">
        <v>194</v>
      </c>
    </row>
    <row r="8" spans="1:5">
      <c r="A8" s="34" t="s">
        <v>85</v>
      </c>
      <c r="B8" s="34" t="s">
        <v>195</v>
      </c>
      <c r="C8" s="34" t="s">
        <v>196</v>
      </c>
      <c r="D8" s="34" t="s">
        <v>197</v>
      </c>
      <c r="E8" s="34" t="s">
        <v>189</v>
      </c>
    </row>
    <row r="9" spans="1:5">
      <c r="A9" s="34" t="s">
        <v>85</v>
      </c>
      <c r="B9" s="34" t="s">
        <v>186</v>
      </c>
      <c r="C9" s="34" t="s">
        <v>187</v>
      </c>
      <c r="D9" s="34" t="s">
        <v>198</v>
      </c>
      <c r="E9" s="34" t="s">
        <v>179</v>
      </c>
    </row>
    <row r="10" spans="1:5">
      <c r="A10" s="33" t="s">
        <v>47</v>
      </c>
      <c r="B10" s="34" t="s">
        <v>199</v>
      </c>
      <c r="C10" s="34" t="s">
        <v>200</v>
      </c>
      <c r="D10" s="34" t="s">
        <v>201</v>
      </c>
      <c r="E10" s="34" t="s">
        <v>202</v>
      </c>
    </row>
    <row r="11" spans="1:5">
      <c r="A11" s="33" t="s">
        <v>47</v>
      </c>
      <c r="B11" s="34" t="s">
        <v>203</v>
      </c>
      <c r="C11" s="34" t="s">
        <v>204</v>
      </c>
      <c r="D11" s="34" t="s">
        <v>205</v>
      </c>
      <c r="E11" s="34" t="s">
        <v>194</v>
      </c>
    </row>
    <row r="12" spans="1:5">
      <c r="A12" s="34" t="s">
        <v>85</v>
      </c>
      <c r="B12" s="34" t="s">
        <v>206</v>
      </c>
      <c r="C12" s="34" t="s">
        <v>207</v>
      </c>
      <c r="D12" s="34" t="s">
        <v>208</v>
      </c>
      <c r="E12" s="34" t="s">
        <v>209</v>
      </c>
    </row>
    <row r="13" spans="1:5">
      <c r="A13" s="34" t="s">
        <v>85</v>
      </c>
      <c r="B13" s="34" t="s">
        <v>191</v>
      </c>
      <c r="C13" s="34" t="s">
        <v>192</v>
      </c>
      <c r="D13" s="34" t="s">
        <v>210</v>
      </c>
      <c r="E13" s="34" t="s">
        <v>211</v>
      </c>
    </row>
    <row r="14" spans="1:5">
      <c r="A14" s="34" t="s">
        <v>85</v>
      </c>
      <c r="B14" s="34" t="s">
        <v>212</v>
      </c>
      <c r="C14" s="34" t="s">
        <v>213</v>
      </c>
      <c r="D14" s="34" t="s">
        <v>214</v>
      </c>
      <c r="E14" s="34" t="s">
        <v>179</v>
      </c>
    </row>
    <row r="15" spans="1:5">
      <c r="A15" s="34" t="s">
        <v>85</v>
      </c>
      <c r="B15" s="34" t="s">
        <v>206</v>
      </c>
      <c r="C15" s="34" t="s">
        <v>207</v>
      </c>
      <c r="D15" s="34" t="s">
        <v>215</v>
      </c>
      <c r="E15" s="34" t="s">
        <v>202</v>
      </c>
    </row>
    <row r="16" spans="1:5">
      <c r="A16" s="34" t="s">
        <v>85</v>
      </c>
      <c r="B16" s="34" t="s">
        <v>216</v>
      </c>
      <c r="C16" s="34" t="s">
        <v>217</v>
      </c>
      <c r="D16" s="34" t="s">
        <v>218</v>
      </c>
      <c r="E16" s="34" t="s">
        <v>179</v>
      </c>
    </row>
    <row r="17" spans="1:5">
      <c r="A17" s="33" t="s">
        <v>47</v>
      </c>
      <c r="B17" s="34" t="s">
        <v>219</v>
      </c>
      <c r="C17" s="34" t="s">
        <v>220</v>
      </c>
      <c r="D17" s="34" t="s">
        <v>221</v>
      </c>
      <c r="E17" s="34" t="s">
        <v>211</v>
      </c>
    </row>
    <row r="18" spans="1:5">
      <c r="A18" s="33" t="s">
        <v>47</v>
      </c>
      <c r="B18" s="34" t="s">
        <v>222</v>
      </c>
      <c r="C18" s="34" t="s">
        <v>223</v>
      </c>
      <c r="D18" s="34" t="s">
        <v>224</v>
      </c>
      <c r="E18" s="34" t="s">
        <v>211</v>
      </c>
    </row>
    <row r="19" spans="1:5">
      <c r="A19" s="33" t="s">
        <v>47</v>
      </c>
      <c r="B19" s="34" t="s">
        <v>199</v>
      </c>
      <c r="C19" s="34" t="s">
        <v>200</v>
      </c>
      <c r="D19" s="34" t="s">
        <v>225</v>
      </c>
      <c r="E19" s="34" t="s">
        <v>211</v>
      </c>
    </row>
    <row r="20" spans="1:5">
      <c r="A20" s="33" t="s">
        <v>47</v>
      </c>
      <c r="B20" s="34" t="s">
        <v>203</v>
      </c>
      <c r="C20" s="34" t="s">
        <v>204</v>
      </c>
      <c r="D20" s="34" t="s">
        <v>226</v>
      </c>
      <c r="E20" s="34" t="s">
        <v>211</v>
      </c>
    </row>
    <row r="21" spans="1:5">
      <c r="A21" s="33" t="s">
        <v>47</v>
      </c>
      <c r="B21" s="34" t="s">
        <v>203</v>
      </c>
      <c r="C21" s="34" t="s">
        <v>204</v>
      </c>
      <c r="D21" s="34" t="s">
        <v>227</v>
      </c>
      <c r="E21" s="34" t="s">
        <v>189</v>
      </c>
    </row>
    <row r="22" spans="1:5">
      <c r="A22" s="34" t="s">
        <v>85</v>
      </c>
      <c r="B22" s="34" t="s">
        <v>228</v>
      </c>
      <c r="C22" s="34" t="s">
        <v>229</v>
      </c>
      <c r="D22" s="34" t="s">
        <v>230</v>
      </c>
      <c r="E22" s="34" t="s">
        <v>179</v>
      </c>
    </row>
    <row r="23" spans="1:5">
      <c r="A23" s="33" t="s">
        <v>47</v>
      </c>
      <c r="B23" s="34" t="s">
        <v>199</v>
      </c>
      <c r="C23" s="34" t="s">
        <v>200</v>
      </c>
      <c r="D23" s="34" t="s">
        <v>231</v>
      </c>
      <c r="E23" s="34" t="s">
        <v>211</v>
      </c>
    </row>
    <row r="24" spans="1:5">
      <c r="A24" s="33" t="s">
        <v>47</v>
      </c>
      <c r="B24" s="34" t="s">
        <v>219</v>
      </c>
      <c r="C24" s="34" t="s">
        <v>220</v>
      </c>
      <c r="D24" s="34" t="s">
        <v>232</v>
      </c>
      <c r="E24" s="34" t="s">
        <v>233</v>
      </c>
    </row>
    <row r="25" spans="1:5">
      <c r="A25" s="34" t="s">
        <v>85</v>
      </c>
      <c r="B25" s="34" t="s">
        <v>234</v>
      </c>
      <c r="C25" s="34" t="s">
        <v>235</v>
      </c>
      <c r="D25" s="34" t="s">
        <v>236</v>
      </c>
      <c r="E25" s="34" t="s">
        <v>179</v>
      </c>
    </row>
    <row r="26" spans="1:5">
      <c r="A26" s="33" t="s">
        <v>47</v>
      </c>
      <c r="B26" s="34" t="s">
        <v>203</v>
      </c>
      <c r="C26" s="34" t="s">
        <v>204</v>
      </c>
      <c r="D26" s="34" t="s">
        <v>237</v>
      </c>
      <c r="E26" s="34" t="s">
        <v>202</v>
      </c>
    </row>
    <row r="27" spans="1:5">
      <c r="A27" s="33" t="s">
        <v>47</v>
      </c>
      <c r="B27" s="34" t="s">
        <v>238</v>
      </c>
      <c r="C27" s="34" t="s">
        <v>239</v>
      </c>
      <c r="D27" s="34" t="s">
        <v>240</v>
      </c>
      <c r="E27" s="34" t="s">
        <v>211</v>
      </c>
    </row>
    <row r="28" spans="1:5">
      <c r="A28" s="33" t="s">
        <v>47</v>
      </c>
      <c r="B28" s="34" t="s">
        <v>203</v>
      </c>
      <c r="C28" s="34" t="s">
        <v>204</v>
      </c>
      <c r="D28" s="34" t="s">
        <v>241</v>
      </c>
      <c r="E28" s="34" t="s">
        <v>233</v>
      </c>
    </row>
    <row r="29" spans="1:5">
      <c r="A29" s="33" t="s">
        <v>47</v>
      </c>
      <c r="B29" s="34" t="s">
        <v>242</v>
      </c>
      <c r="C29" s="34" t="s">
        <v>243</v>
      </c>
      <c r="D29" s="34" t="s">
        <v>244</v>
      </c>
      <c r="E29" s="34" t="s">
        <v>211</v>
      </c>
    </row>
    <row r="30" spans="1:5">
      <c r="A30" s="33" t="s">
        <v>47</v>
      </c>
      <c r="B30" s="34" t="s">
        <v>245</v>
      </c>
      <c r="C30" s="34" t="s">
        <v>246</v>
      </c>
      <c r="D30" s="34" t="s">
        <v>247</v>
      </c>
      <c r="E30" s="34" t="s">
        <v>211</v>
      </c>
    </row>
    <row r="31" spans="1:5">
      <c r="A31" s="34" t="s">
        <v>85</v>
      </c>
      <c r="B31" s="34" t="s">
        <v>248</v>
      </c>
      <c r="C31" s="34" t="s">
        <v>249</v>
      </c>
      <c r="D31" s="34" t="s">
        <v>250</v>
      </c>
      <c r="E31" s="34" t="s">
        <v>179</v>
      </c>
    </row>
    <row r="32" spans="1:5">
      <c r="A32" s="34" t="s">
        <v>85</v>
      </c>
      <c r="B32" s="34" t="s">
        <v>195</v>
      </c>
      <c r="C32" s="34" t="s">
        <v>196</v>
      </c>
      <c r="D32" s="34" t="s">
        <v>251</v>
      </c>
      <c r="E32" s="34" t="s">
        <v>211</v>
      </c>
    </row>
    <row r="33" spans="1:5">
      <c r="A33" s="34" t="s">
        <v>85</v>
      </c>
      <c r="B33" s="34" t="s">
        <v>206</v>
      </c>
      <c r="C33" s="34" t="s">
        <v>207</v>
      </c>
      <c r="D33" s="34" t="s">
        <v>252</v>
      </c>
      <c r="E33" s="34" t="s">
        <v>209</v>
      </c>
    </row>
    <row r="34" spans="1:5">
      <c r="A34" s="34" t="s">
        <v>85</v>
      </c>
      <c r="B34" s="34" t="s">
        <v>180</v>
      </c>
      <c r="C34" s="34" t="s">
        <v>181</v>
      </c>
      <c r="D34" s="34" t="s">
        <v>253</v>
      </c>
      <c r="E34" s="34" t="s">
        <v>179</v>
      </c>
    </row>
    <row r="35" spans="1:5">
      <c r="A35" s="33" t="s">
        <v>47</v>
      </c>
      <c r="B35" s="34" t="s">
        <v>242</v>
      </c>
      <c r="C35" s="34" t="s">
        <v>243</v>
      </c>
      <c r="D35" s="34" t="s">
        <v>254</v>
      </c>
      <c r="E35" s="34" t="s">
        <v>194</v>
      </c>
    </row>
    <row r="36" spans="1:5">
      <c r="A36" s="34" t="s">
        <v>85</v>
      </c>
      <c r="B36" s="34" t="s">
        <v>255</v>
      </c>
      <c r="C36" s="34" t="s">
        <v>256</v>
      </c>
      <c r="D36" s="34" t="s">
        <v>257</v>
      </c>
      <c r="E36" s="34" t="s">
        <v>179</v>
      </c>
    </row>
    <row r="37" spans="1:5">
      <c r="A37" s="34" t="s">
        <v>85</v>
      </c>
      <c r="B37" s="34" t="s">
        <v>180</v>
      </c>
      <c r="C37" s="34" t="s">
        <v>181</v>
      </c>
      <c r="D37" s="34" t="s">
        <v>258</v>
      </c>
      <c r="E37" s="34" t="s">
        <v>179</v>
      </c>
    </row>
    <row r="38" spans="1:5">
      <c r="A38" s="33" t="s">
        <v>47</v>
      </c>
      <c r="B38" s="34" t="s">
        <v>259</v>
      </c>
      <c r="C38" s="34" t="s">
        <v>260</v>
      </c>
      <c r="D38" s="34" t="s">
        <v>261</v>
      </c>
      <c r="E38" s="34" t="s">
        <v>189</v>
      </c>
    </row>
    <row r="39" spans="1:5">
      <c r="A39" s="34" t="s">
        <v>85</v>
      </c>
      <c r="B39" s="34" t="s">
        <v>176</v>
      </c>
      <c r="C39" s="34" t="s">
        <v>177</v>
      </c>
      <c r="D39" s="34" t="s">
        <v>262</v>
      </c>
      <c r="E39" s="34" t="s">
        <v>179</v>
      </c>
    </row>
    <row r="40" spans="1:5">
      <c r="A40" s="34" t="s">
        <v>85</v>
      </c>
      <c r="B40" s="34" t="s">
        <v>183</v>
      </c>
      <c r="C40" s="34" t="s">
        <v>184</v>
      </c>
      <c r="D40" s="34" t="s">
        <v>263</v>
      </c>
      <c r="E40" s="34" t="s">
        <v>179</v>
      </c>
    </row>
    <row r="41" spans="1:5">
      <c r="A41" s="34" t="s">
        <v>85</v>
      </c>
      <c r="B41" s="34" t="s">
        <v>264</v>
      </c>
      <c r="C41" s="34" t="s">
        <v>265</v>
      </c>
      <c r="D41" s="34" t="s">
        <v>266</v>
      </c>
      <c r="E41" s="34" t="s">
        <v>179</v>
      </c>
    </row>
    <row r="42" spans="1:5">
      <c r="A42" s="34" t="s">
        <v>85</v>
      </c>
      <c r="B42" s="34" t="s">
        <v>234</v>
      </c>
      <c r="C42" s="34" t="s">
        <v>235</v>
      </c>
      <c r="D42" s="34" t="s">
        <v>267</v>
      </c>
      <c r="E42" s="34" t="s">
        <v>189</v>
      </c>
    </row>
    <row r="43" spans="1:5">
      <c r="A43" s="33" t="s">
        <v>47</v>
      </c>
      <c r="B43" s="34" t="s">
        <v>222</v>
      </c>
      <c r="C43" s="34" t="s">
        <v>223</v>
      </c>
      <c r="D43" s="34" t="s">
        <v>268</v>
      </c>
      <c r="E43" s="34" t="s">
        <v>211</v>
      </c>
    </row>
    <row r="44" spans="1:5">
      <c r="A44" s="34" t="s">
        <v>85</v>
      </c>
      <c r="B44" s="34" t="s">
        <v>176</v>
      </c>
      <c r="C44" s="34" t="s">
        <v>177</v>
      </c>
      <c r="D44" s="34" t="s">
        <v>269</v>
      </c>
      <c r="E44" s="34" t="s">
        <v>189</v>
      </c>
    </row>
    <row r="45" spans="1:5">
      <c r="A45" s="33" t="s">
        <v>47</v>
      </c>
      <c r="B45" s="34" t="s">
        <v>259</v>
      </c>
      <c r="C45" s="34" t="s">
        <v>260</v>
      </c>
      <c r="D45" s="34" t="s">
        <v>270</v>
      </c>
      <c r="E45" s="34" t="s">
        <v>211</v>
      </c>
    </row>
    <row r="46" spans="1:5">
      <c r="A46" s="34" t="s">
        <v>85</v>
      </c>
      <c r="B46" s="34" t="s">
        <v>183</v>
      </c>
      <c r="C46" s="34" t="s">
        <v>184</v>
      </c>
      <c r="D46" s="34" t="s">
        <v>271</v>
      </c>
      <c r="E46" s="34" t="s">
        <v>179</v>
      </c>
    </row>
    <row r="47" spans="1:5">
      <c r="A47" s="33" t="s">
        <v>47</v>
      </c>
      <c r="B47" s="34" t="s">
        <v>272</v>
      </c>
      <c r="C47" s="34" t="s">
        <v>273</v>
      </c>
      <c r="D47" s="34" t="s">
        <v>274</v>
      </c>
      <c r="E47" s="34" t="s">
        <v>194</v>
      </c>
    </row>
    <row r="48" spans="1:5">
      <c r="A48" s="33" t="s">
        <v>47</v>
      </c>
      <c r="B48" s="34" t="s">
        <v>245</v>
      </c>
      <c r="C48" s="34" t="s">
        <v>246</v>
      </c>
      <c r="D48" s="34" t="s">
        <v>275</v>
      </c>
      <c r="E48" s="34" t="s">
        <v>211</v>
      </c>
    </row>
    <row r="49" spans="1:5">
      <c r="A49" s="34" t="s">
        <v>85</v>
      </c>
      <c r="B49" s="34" t="s">
        <v>183</v>
      </c>
      <c r="C49" s="34" t="s">
        <v>184</v>
      </c>
      <c r="D49" s="34" t="s">
        <v>276</v>
      </c>
      <c r="E49" s="34" t="s">
        <v>179</v>
      </c>
    </row>
    <row r="50" spans="1:5">
      <c r="A50" s="34" t="s">
        <v>85</v>
      </c>
      <c r="B50" s="34" t="s">
        <v>195</v>
      </c>
      <c r="C50" s="34" t="s">
        <v>196</v>
      </c>
      <c r="D50" s="34" t="s">
        <v>277</v>
      </c>
      <c r="E50" s="34" t="s">
        <v>209</v>
      </c>
    </row>
    <row r="51" spans="1:5">
      <c r="A51" s="34" t="s">
        <v>85</v>
      </c>
      <c r="B51" s="34" t="s">
        <v>176</v>
      </c>
      <c r="C51" s="34" t="s">
        <v>177</v>
      </c>
      <c r="D51" s="34" t="s">
        <v>278</v>
      </c>
      <c r="E51" s="34" t="s">
        <v>279</v>
      </c>
    </row>
    <row r="52" spans="1:5">
      <c r="A52" s="33" t="s">
        <v>47</v>
      </c>
      <c r="B52" s="34" t="s">
        <v>280</v>
      </c>
      <c r="C52" s="34" t="s">
        <v>281</v>
      </c>
      <c r="D52" s="34" t="s">
        <v>282</v>
      </c>
      <c r="E52" s="34" t="s">
        <v>189</v>
      </c>
    </row>
    <row r="53" spans="1:5">
      <c r="A53" s="34" t="s">
        <v>85</v>
      </c>
      <c r="B53" s="34" t="s">
        <v>206</v>
      </c>
      <c r="C53" s="34" t="s">
        <v>207</v>
      </c>
      <c r="D53" s="34" t="s">
        <v>283</v>
      </c>
      <c r="E53" s="34" t="s">
        <v>211</v>
      </c>
    </row>
    <row r="54" spans="1:5">
      <c r="A54" s="34" t="s">
        <v>85</v>
      </c>
      <c r="B54" s="34" t="s">
        <v>284</v>
      </c>
      <c r="C54" s="34" t="s">
        <v>285</v>
      </c>
      <c r="D54" s="34" t="s">
        <v>286</v>
      </c>
      <c r="E54" s="34" t="s">
        <v>179</v>
      </c>
    </row>
    <row r="55" spans="1:5">
      <c r="A55" s="33" t="s">
        <v>47</v>
      </c>
      <c r="B55" s="34" t="s">
        <v>199</v>
      </c>
      <c r="C55" s="34" t="s">
        <v>200</v>
      </c>
      <c r="D55" s="34" t="s">
        <v>287</v>
      </c>
      <c r="E55" s="34" t="s">
        <v>211</v>
      </c>
    </row>
    <row r="56" spans="1:5">
      <c r="A56" s="34" t="s">
        <v>85</v>
      </c>
      <c r="B56" s="34" t="s">
        <v>195</v>
      </c>
      <c r="C56" s="34" t="s">
        <v>196</v>
      </c>
      <c r="D56" s="34" t="s">
        <v>288</v>
      </c>
      <c r="E56" s="34" t="s">
        <v>211</v>
      </c>
    </row>
    <row r="57" spans="1:5">
      <c r="A57" s="33" t="s">
        <v>47</v>
      </c>
      <c r="B57" s="34" t="s">
        <v>259</v>
      </c>
      <c r="C57" s="34" t="s">
        <v>260</v>
      </c>
      <c r="D57" s="34" t="s">
        <v>289</v>
      </c>
      <c r="E57" s="34" t="s">
        <v>202</v>
      </c>
    </row>
    <row r="58" spans="1:5">
      <c r="A58" s="34" t="s">
        <v>85</v>
      </c>
      <c r="B58" s="34" t="s">
        <v>248</v>
      </c>
      <c r="C58" s="34" t="s">
        <v>249</v>
      </c>
      <c r="D58" s="34" t="s">
        <v>290</v>
      </c>
      <c r="E58" s="34" t="s">
        <v>179</v>
      </c>
    </row>
    <row r="59" spans="1:5">
      <c r="A59" s="33" t="s">
        <v>47</v>
      </c>
      <c r="B59" s="34" t="s">
        <v>272</v>
      </c>
      <c r="C59" s="34" t="s">
        <v>273</v>
      </c>
      <c r="D59" s="34" t="s">
        <v>291</v>
      </c>
      <c r="E59" s="34" t="s">
        <v>211</v>
      </c>
    </row>
    <row r="60" spans="1:5">
      <c r="A60" s="33" t="s">
        <v>47</v>
      </c>
      <c r="B60" s="34" t="s">
        <v>292</v>
      </c>
      <c r="C60" s="34" t="s">
        <v>293</v>
      </c>
      <c r="D60" s="34" t="s">
        <v>294</v>
      </c>
      <c r="E60" s="34" t="s">
        <v>211</v>
      </c>
    </row>
    <row r="61" spans="1:5">
      <c r="A61" s="34" t="s">
        <v>85</v>
      </c>
      <c r="B61" s="34" t="s">
        <v>255</v>
      </c>
      <c r="C61" s="34" t="s">
        <v>256</v>
      </c>
      <c r="D61" s="34" t="s">
        <v>295</v>
      </c>
      <c r="E61" s="34" t="s">
        <v>179</v>
      </c>
    </row>
    <row r="62" spans="1:5">
      <c r="A62" s="33" t="s">
        <v>47</v>
      </c>
      <c r="B62" s="34" t="s">
        <v>199</v>
      </c>
      <c r="C62" s="34" t="s">
        <v>200</v>
      </c>
      <c r="D62" s="34" t="s">
        <v>296</v>
      </c>
      <c r="E62" s="34" t="s">
        <v>211</v>
      </c>
    </row>
    <row r="63" spans="1:5">
      <c r="A63" s="34" t="s">
        <v>85</v>
      </c>
      <c r="B63" s="34" t="s">
        <v>297</v>
      </c>
      <c r="C63" s="34" t="s">
        <v>298</v>
      </c>
      <c r="D63" s="34" t="s">
        <v>299</v>
      </c>
      <c r="E63" s="34" t="s">
        <v>179</v>
      </c>
    </row>
    <row r="64" spans="1:5">
      <c r="A64" s="34" t="s">
        <v>85</v>
      </c>
      <c r="B64" s="34" t="s">
        <v>248</v>
      </c>
      <c r="C64" s="34" t="s">
        <v>249</v>
      </c>
      <c r="D64" s="34" t="s">
        <v>300</v>
      </c>
      <c r="E64" s="34" t="s">
        <v>179</v>
      </c>
    </row>
    <row r="65" spans="1:5">
      <c r="A65" s="33" t="s">
        <v>47</v>
      </c>
      <c r="B65" s="34" t="s">
        <v>259</v>
      </c>
      <c r="C65" s="34" t="s">
        <v>260</v>
      </c>
      <c r="D65" s="34" t="s">
        <v>301</v>
      </c>
      <c r="E65" s="34" t="s">
        <v>211</v>
      </c>
    </row>
    <row r="66" spans="1:5">
      <c r="A66" s="34" t="s">
        <v>85</v>
      </c>
      <c r="B66" s="34" t="s">
        <v>302</v>
      </c>
      <c r="C66" s="34" t="s">
        <v>303</v>
      </c>
      <c r="D66" s="34" t="s">
        <v>304</v>
      </c>
      <c r="E66" s="34" t="s">
        <v>179</v>
      </c>
    </row>
    <row r="67" spans="1:5">
      <c r="A67" s="34" t="s">
        <v>85</v>
      </c>
      <c r="B67" s="34" t="s">
        <v>176</v>
      </c>
      <c r="C67" s="34" t="s">
        <v>177</v>
      </c>
      <c r="D67" s="34" t="s">
        <v>305</v>
      </c>
      <c r="E67" s="34" t="s">
        <v>179</v>
      </c>
    </row>
    <row r="68" spans="1:5">
      <c r="A68" s="34" t="s">
        <v>85</v>
      </c>
      <c r="B68" s="34" t="s">
        <v>248</v>
      </c>
      <c r="C68" s="34" t="s">
        <v>249</v>
      </c>
      <c r="D68" s="34" t="s">
        <v>306</v>
      </c>
      <c r="E68" s="34" t="s">
        <v>189</v>
      </c>
    </row>
    <row r="69" spans="1:5">
      <c r="A69" s="34" t="s">
        <v>85</v>
      </c>
      <c r="B69" s="34" t="s">
        <v>307</v>
      </c>
      <c r="C69" s="34" t="s">
        <v>308</v>
      </c>
      <c r="D69" s="34" t="s">
        <v>309</v>
      </c>
      <c r="E69" s="34" t="s">
        <v>179</v>
      </c>
    </row>
    <row r="70" spans="1:5">
      <c r="A70" s="34" t="s">
        <v>85</v>
      </c>
      <c r="B70" s="34" t="s">
        <v>307</v>
      </c>
      <c r="C70" s="34" t="s">
        <v>308</v>
      </c>
      <c r="D70" s="34" t="s">
        <v>310</v>
      </c>
      <c r="E70" s="34" t="s">
        <v>189</v>
      </c>
    </row>
    <row r="71" spans="1:5">
      <c r="A71" s="34" t="s">
        <v>85</v>
      </c>
      <c r="B71" s="34" t="s">
        <v>302</v>
      </c>
      <c r="C71" s="34" t="s">
        <v>303</v>
      </c>
      <c r="D71" s="34" t="s">
        <v>311</v>
      </c>
      <c r="E71" s="34" t="s">
        <v>179</v>
      </c>
    </row>
    <row r="72" spans="1:5">
      <c r="A72" s="34" t="s">
        <v>85</v>
      </c>
      <c r="B72" s="34" t="s">
        <v>216</v>
      </c>
      <c r="C72" s="34" t="s">
        <v>217</v>
      </c>
      <c r="D72" s="34" t="s">
        <v>312</v>
      </c>
      <c r="E72" s="34" t="s">
        <v>179</v>
      </c>
    </row>
    <row r="73" spans="1:5">
      <c r="A73" s="34" t="s">
        <v>85</v>
      </c>
      <c r="B73" s="34" t="s">
        <v>234</v>
      </c>
      <c r="C73" s="34" t="s">
        <v>235</v>
      </c>
      <c r="D73" s="34" t="s">
        <v>313</v>
      </c>
      <c r="E73" s="34" t="s">
        <v>179</v>
      </c>
    </row>
    <row r="74" spans="1:5">
      <c r="A74" s="34" t="s">
        <v>85</v>
      </c>
      <c r="B74" s="34" t="s">
        <v>297</v>
      </c>
      <c r="C74" s="34" t="s">
        <v>298</v>
      </c>
      <c r="D74" s="34" t="s">
        <v>314</v>
      </c>
      <c r="E74" s="34" t="s">
        <v>189</v>
      </c>
    </row>
    <row r="75" spans="1:5">
      <c r="A75" s="34" t="s">
        <v>85</v>
      </c>
      <c r="B75" s="34" t="s">
        <v>183</v>
      </c>
      <c r="C75" s="34" t="s">
        <v>184</v>
      </c>
      <c r="D75" s="34" t="s">
        <v>315</v>
      </c>
      <c r="E75" s="34" t="s">
        <v>179</v>
      </c>
    </row>
    <row r="76" spans="1:5">
      <c r="A76" s="34" t="s">
        <v>85</v>
      </c>
      <c r="B76" s="34" t="s">
        <v>180</v>
      </c>
      <c r="C76" s="34" t="s">
        <v>181</v>
      </c>
      <c r="D76" s="34" t="s">
        <v>316</v>
      </c>
      <c r="E76" s="34" t="s">
        <v>279</v>
      </c>
    </row>
    <row r="77" spans="1:5">
      <c r="A77" s="34" t="s">
        <v>85</v>
      </c>
      <c r="B77" s="34" t="s">
        <v>228</v>
      </c>
      <c r="C77" s="34" t="s">
        <v>229</v>
      </c>
      <c r="D77" s="34" t="s">
        <v>317</v>
      </c>
      <c r="E77" s="34" t="s">
        <v>279</v>
      </c>
    </row>
    <row r="78" spans="1:5">
      <c r="A78" s="34" t="s">
        <v>85</v>
      </c>
      <c r="B78" s="34" t="s">
        <v>228</v>
      </c>
      <c r="C78" s="34" t="s">
        <v>229</v>
      </c>
      <c r="D78" s="34" t="s">
        <v>318</v>
      </c>
      <c r="E78" s="34" t="s">
        <v>179</v>
      </c>
    </row>
    <row r="79" spans="1:5">
      <c r="A79" s="34" t="s">
        <v>85</v>
      </c>
      <c r="B79" s="34" t="s">
        <v>319</v>
      </c>
      <c r="C79" s="34" t="s">
        <v>320</v>
      </c>
      <c r="D79" s="34" t="s">
        <v>321</v>
      </c>
      <c r="E79" s="34" t="s">
        <v>211</v>
      </c>
    </row>
    <row r="80" spans="1:5">
      <c r="A80" s="33" t="s">
        <v>47</v>
      </c>
      <c r="B80" s="34" t="s">
        <v>245</v>
      </c>
      <c r="C80" s="34" t="s">
        <v>246</v>
      </c>
      <c r="D80" s="34" t="s">
        <v>322</v>
      </c>
      <c r="E80" s="34" t="s">
        <v>194</v>
      </c>
    </row>
    <row r="81" spans="1:5">
      <c r="A81" s="33" t="s">
        <v>47</v>
      </c>
      <c r="B81" s="34" t="s">
        <v>219</v>
      </c>
      <c r="C81" s="34" t="s">
        <v>220</v>
      </c>
      <c r="D81" s="34" t="s">
        <v>323</v>
      </c>
      <c r="E81" s="34" t="s">
        <v>202</v>
      </c>
    </row>
    <row r="82" spans="1:5">
      <c r="A82" s="33" t="s">
        <v>47</v>
      </c>
      <c r="B82" s="34" t="s">
        <v>222</v>
      </c>
      <c r="C82" s="34" t="s">
        <v>223</v>
      </c>
      <c r="D82" s="34" t="s">
        <v>324</v>
      </c>
      <c r="E82" s="34" t="s">
        <v>211</v>
      </c>
    </row>
    <row r="83" spans="1:5">
      <c r="A83" s="33" t="s">
        <v>47</v>
      </c>
      <c r="B83" s="34" t="s">
        <v>259</v>
      </c>
      <c r="C83" s="34" t="s">
        <v>260</v>
      </c>
      <c r="D83" s="34" t="s">
        <v>325</v>
      </c>
      <c r="E83" s="34" t="s">
        <v>211</v>
      </c>
    </row>
    <row r="84" spans="1:5">
      <c r="A84" s="34" t="s">
        <v>85</v>
      </c>
      <c r="B84" s="34" t="s">
        <v>176</v>
      </c>
      <c r="C84" s="34" t="s">
        <v>177</v>
      </c>
      <c r="D84" s="34" t="s">
        <v>326</v>
      </c>
      <c r="E84" s="34" t="s">
        <v>327</v>
      </c>
    </row>
    <row r="85" spans="1:5">
      <c r="A85" s="34" t="s">
        <v>85</v>
      </c>
      <c r="B85" s="34" t="s">
        <v>191</v>
      </c>
      <c r="C85" s="34" t="s">
        <v>192</v>
      </c>
      <c r="D85" s="34" t="s">
        <v>328</v>
      </c>
      <c r="E85" s="34" t="s">
        <v>202</v>
      </c>
    </row>
    <row r="86" spans="1:5">
      <c r="A86" s="34" t="s">
        <v>85</v>
      </c>
      <c r="B86" s="34" t="s">
        <v>176</v>
      </c>
      <c r="C86" s="34" t="s">
        <v>177</v>
      </c>
      <c r="D86" s="34" t="s">
        <v>329</v>
      </c>
      <c r="E86" s="34" t="s">
        <v>179</v>
      </c>
    </row>
    <row r="87" spans="1:5">
      <c r="A87" s="34" t="s">
        <v>85</v>
      </c>
      <c r="B87" s="34" t="s">
        <v>264</v>
      </c>
      <c r="C87" s="34" t="s">
        <v>265</v>
      </c>
      <c r="D87" s="34" t="s">
        <v>330</v>
      </c>
      <c r="E87" s="34" t="s">
        <v>279</v>
      </c>
    </row>
    <row r="88" spans="1:5">
      <c r="A88" s="34" t="s">
        <v>85</v>
      </c>
      <c r="B88" s="34" t="s">
        <v>195</v>
      </c>
      <c r="C88" s="34" t="s">
        <v>196</v>
      </c>
      <c r="D88" s="34" t="s">
        <v>331</v>
      </c>
      <c r="E88" s="34" t="s">
        <v>194</v>
      </c>
    </row>
    <row r="89" spans="1:5">
      <c r="A89" s="33" t="s">
        <v>47</v>
      </c>
      <c r="B89" s="34" t="s">
        <v>280</v>
      </c>
      <c r="C89" s="34" t="s">
        <v>281</v>
      </c>
      <c r="D89" s="34" t="s">
        <v>332</v>
      </c>
      <c r="E89" s="34" t="s">
        <v>211</v>
      </c>
    </row>
    <row r="90" spans="1:5">
      <c r="A90" s="33" t="s">
        <v>47</v>
      </c>
      <c r="B90" s="34" t="s">
        <v>242</v>
      </c>
      <c r="C90" s="34" t="s">
        <v>243</v>
      </c>
      <c r="D90" s="34" t="s">
        <v>333</v>
      </c>
      <c r="E90" s="34" t="s">
        <v>211</v>
      </c>
    </row>
    <row r="91" spans="1:5">
      <c r="A91" s="34" t="s">
        <v>85</v>
      </c>
      <c r="B91" s="34" t="s">
        <v>319</v>
      </c>
      <c r="C91" s="34" t="s">
        <v>320</v>
      </c>
      <c r="D91" s="34" t="s">
        <v>334</v>
      </c>
      <c r="E91" s="34" t="s">
        <v>189</v>
      </c>
    </row>
    <row r="92" spans="1:5">
      <c r="A92" s="33" t="s">
        <v>47</v>
      </c>
      <c r="B92" s="34" t="s">
        <v>292</v>
      </c>
      <c r="C92" s="34" t="s">
        <v>293</v>
      </c>
      <c r="D92" s="34" t="s">
        <v>335</v>
      </c>
      <c r="E92" s="34" t="s">
        <v>211</v>
      </c>
    </row>
    <row r="93" spans="1:5">
      <c r="A93" s="34" t="s">
        <v>85</v>
      </c>
      <c r="B93" s="34" t="s">
        <v>297</v>
      </c>
      <c r="C93" s="34" t="s">
        <v>298</v>
      </c>
      <c r="D93" s="34" t="s">
        <v>336</v>
      </c>
      <c r="E93" s="34" t="s">
        <v>179</v>
      </c>
    </row>
    <row r="94" spans="1:5">
      <c r="A94" s="34" t="s">
        <v>85</v>
      </c>
      <c r="B94" s="34" t="s">
        <v>212</v>
      </c>
      <c r="C94" s="34" t="s">
        <v>213</v>
      </c>
      <c r="D94" s="34" t="s">
        <v>337</v>
      </c>
      <c r="E94" s="34" t="s">
        <v>179</v>
      </c>
    </row>
    <row r="95" spans="1:5">
      <c r="A95" s="34" t="s">
        <v>85</v>
      </c>
      <c r="B95" s="34" t="s">
        <v>255</v>
      </c>
      <c r="C95" s="34" t="s">
        <v>256</v>
      </c>
      <c r="D95" s="34" t="s">
        <v>338</v>
      </c>
      <c r="E95" s="34" t="s">
        <v>179</v>
      </c>
    </row>
    <row r="96" spans="1:5">
      <c r="A96" s="34" t="s">
        <v>85</v>
      </c>
      <c r="B96" s="34" t="s">
        <v>307</v>
      </c>
      <c r="C96" s="34" t="s">
        <v>308</v>
      </c>
      <c r="D96" s="34" t="s">
        <v>339</v>
      </c>
      <c r="E96" s="34" t="s">
        <v>279</v>
      </c>
    </row>
    <row r="97" spans="1:5">
      <c r="A97" s="34" t="s">
        <v>85</v>
      </c>
      <c r="B97" s="34" t="s">
        <v>216</v>
      </c>
      <c r="C97" s="34" t="s">
        <v>217</v>
      </c>
      <c r="D97" s="34" t="s">
        <v>340</v>
      </c>
      <c r="E97" s="34" t="s">
        <v>279</v>
      </c>
    </row>
    <row r="98" spans="1:5">
      <c r="A98" s="33" t="s">
        <v>47</v>
      </c>
      <c r="B98" s="34" t="s">
        <v>238</v>
      </c>
      <c r="C98" s="34" t="s">
        <v>239</v>
      </c>
      <c r="D98" s="34" t="s">
        <v>341</v>
      </c>
      <c r="E98" s="34" t="s">
        <v>211</v>
      </c>
    </row>
    <row r="99" spans="1:5">
      <c r="A99" s="34" t="s">
        <v>85</v>
      </c>
      <c r="B99" s="34" t="s">
        <v>297</v>
      </c>
      <c r="C99" s="34" t="s">
        <v>298</v>
      </c>
      <c r="D99" s="34" t="s">
        <v>342</v>
      </c>
      <c r="E99" s="34" t="s">
        <v>279</v>
      </c>
    </row>
    <row r="100" spans="1:5">
      <c r="A100" s="34" t="s">
        <v>85</v>
      </c>
      <c r="B100" s="34" t="s">
        <v>191</v>
      </c>
      <c r="C100" s="34" t="s">
        <v>192</v>
      </c>
      <c r="D100" s="34" t="s">
        <v>343</v>
      </c>
      <c r="E100" s="34" t="s">
        <v>211</v>
      </c>
    </row>
    <row r="101" spans="1:5">
      <c r="A101" s="34" t="s">
        <v>85</v>
      </c>
      <c r="B101" s="34" t="s">
        <v>206</v>
      </c>
      <c r="C101" s="34" t="s">
        <v>207</v>
      </c>
      <c r="D101" s="34" t="s">
        <v>344</v>
      </c>
      <c r="E101" s="34" t="s">
        <v>211</v>
      </c>
    </row>
    <row r="102" spans="1:5">
      <c r="A102" s="33" t="s">
        <v>47</v>
      </c>
      <c r="B102" s="34" t="s">
        <v>238</v>
      </c>
      <c r="C102" s="34" t="s">
        <v>239</v>
      </c>
      <c r="D102" s="34" t="s">
        <v>345</v>
      </c>
      <c r="E102" s="34" t="s">
        <v>233</v>
      </c>
    </row>
    <row r="103" spans="1:5">
      <c r="A103" s="33" t="s">
        <v>47</v>
      </c>
      <c r="B103" s="34" t="s">
        <v>219</v>
      </c>
      <c r="C103" s="34" t="s">
        <v>220</v>
      </c>
      <c r="D103" s="34" t="s">
        <v>346</v>
      </c>
      <c r="E103" s="34" t="s">
        <v>211</v>
      </c>
    </row>
    <row r="104" spans="1:5">
      <c r="A104" s="34" t="s">
        <v>85</v>
      </c>
      <c r="B104" s="34" t="s">
        <v>297</v>
      </c>
      <c r="C104" s="34" t="s">
        <v>298</v>
      </c>
      <c r="D104" s="34" t="s">
        <v>347</v>
      </c>
      <c r="E104" s="34" t="s">
        <v>211</v>
      </c>
    </row>
    <row r="105" spans="1:5">
      <c r="A105" s="34" t="s">
        <v>85</v>
      </c>
      <c r="B105" s="34" t="s">
        <v>302</v>
      </c>
      <c r="C105" s="34" t="s">
        <v>303</v>
      </c>
      <c r="D105" s="34" t="s">
        <v>348</v>
      </c>
      <c r="E105" s="34" t="s">
        <v>179</v>
      </c>
    </row>
    <row r="106" spans="1:5">
      <c r="A106" s="34" t="s">
        <v>85</v>
      </c>
      <c r="B106" s="34" t="s">
        <v>180</v>
      </c>
      <c r="C106" s="34" t="s">
        <v>181</v>
      </c>
      <c r="D106" s="34" t="s">
        <v>349</v>
      </c>
      <c r="E106" s="34" t="s">
        <v>179</v>
      </c>
    </row>
    <row r="107" spans="1:5">
      <c r="A107" s="34" t="s">
        <v>85</v>
      </c>
      <c r="B107" s="34" t="s">
        <v>212</v>
      </c>
      <c r="C107" s="34" t="s">
        <v>213</v>
      </c>
      <c r="D107" s="34" t="s">
        <v>350</v>
      </c>
      <c r="E107" s="34" t="s">
        <v>179</v>
      </c>
    </row>
    <row r="108" spans="1:5">
      <c r="A108" s="34" t="s">
        <v>85</v>
      </c>
      <c r="B108" s="34" t="s">
        <v>216</v>
      </c>
      <c r="C108" s="34" t="s">
        <v>217</v>
      </c>
      <c r="D108" s="34" t="s">
        <v>351</v>
      </c>
      <c r="E108" s="34" t="s">
        <v>179</v>
      </c>
    </row>
    <row r="109" spans="1:5">
      <c r="A109" s="34" t="s">
        <v>85</v>
      </c>
      <c r="B109" s="34" t="s">
        <v>195</v>
      </c>
      <c r="C109" s="34" t="s">
        <v>196</v>
      </c>
      <c r="D109" s="34" t="s">
        <v>352</v>
      </c>
      <c r="E109" s="34" t="s">
        <v>194</v>
      </c>
    </row>
    <row r="110" spans="1:5">
      <c r="A110" s="34" t="s">
        <v>85</v>
      </c>
      <c r="B110" s="34" t="s">
        <v>183</v>
      </c>
      <c r="C110" s="34" t="s">
        <v>184</v>
      </c>
      <c r="D110" s="34" t="s">
        <v>353</v>
      </c>
      <c r="E110" s="34" t="s">
        <v>179</v>
      </c>
    </row>
    <row r="111" spans="1:5">
      <c r="A111" s="33" t="s">
        <v>47</v>
      </c>
      <c r="B111" s="34" t="s">
        <v>238</v>
      </c>
      <c r="C111" s="34" t="s">
        <v>239</v>
      </c>
      <c r="D111" s="34" t="s">
        <v>354</v>
      </c>
      <c r="E111" s="34" t="s">
        <v>211</v>
      </c>
    </row>
    <row r="112" spans="1:5">
      <c r="A112" s="34" t="s">
        <v>85</v>
      </c>
      <c r="B112" s="34" t="s">
        <v>183</v>
      </c>
      <c r="C112" s="34" t="s">
        <v>184</v>
      </c>
      <c r="D112" s="34" t="s">
        <v>355</v>
      </c>
      <c r="E112" s="34" t="s">
        <v>179</v>
      </c>
    </row>
    <row r="113" spans="1:5">
      <c r="A113" s="33" t="s">
        <v>47</v>
      </c>
      <c r="B113" s="34" t="s">
        <v>259</v>
      </c>
      <c r="C113" s="34" t="s">
        <v>260</v>
      </c>
      <c r="D113" s="34" t="s">
        <v>356</v>
      </c>
      <c r="E113" s="34" t="s">
        <v>211</v>
      </c>
    </row>
    <row r="114" spans="1:5">
      <c r="A114" s="34" t="s">
        <v>85</v>
      </c>
      <c r="B114" s="34" t="s">
        <v>228</v>
      </c>
      <c r="C114" s="34" t="s">
        <v>229</v>
      </c>
      <c r="D114" s="34" t="s">
        <v>357</v>
      </c>
      <c r="E114" s="34" t="s">
        <v>179</v>
      </c>
    </row>
    <row r="115" spans="1:5">
      <c r="A115" s="34" t="s">
        <v>85</v>
      </c>
      <c r="B115" s="34" t="s">
        <v>183</v>
      </c>
      <c r="C115" s="34" t="s">
        <v>184</v>
      </c>
      <c r="D115" s="34" t="s">
        <v>358</v>
      </c>
      <c r="E115" s="34" t="s">
        <v>179</v>
      </c>
    </row>
    <row r="116" spans="1:5">
      <c r="A116" s="34" t="s">
        <v>85</v>
      </c>
      <c r="B116" s="34" t="s">
        <v>183</v>
      </c>
      <c r="C116" s="34" t="s">
        <v>184</v>
      </c>
      <c r="D116" s="34" t="s">
        <v>359</v>
      </c>
      <c r="E116" s="34" t="s">
        <v>179</v>
      </c>
    </row>
    <row r="117" spans="1:5">
      <c r="A117" s="34" t="s">
        <v>85</v>
      </c>
      <c r="B117" s="34" t="s">
        <v>228</v>
      </c>
      <c r="C117" s="34" t="s">
        <v>229</v>
      </c>
      <c r="D117" s="34" t="s">
        <v>360</v>
      </c>
      <c r="E117" s="34" t="s">
        <v>189</v>
      </c>
    </row>
    <row r="118" spans="1:5">
      <c r="A118" s="34" t="s">
        <v>85</v>
      </c>
      <c r="B118" s="34" t="s">
        <v>180</v>
      </c>
      <c r="C118" s="34" t="s">
        <v>181</v>
      </c>
      <c r="D118" s="34" t="s">
        <v>361</v>
      </c>
      <c r="E118" s="34" t="s">
        <v>327</v>
      </c>
    </row>
    <row r="119" spans="1:5">
      <c r="A119" s="34" t="s">
        <v>85</v>
      </c>
      <c r="B119" s="34" t="s">
        <v>195</v>
      </c>
      <c r="C119" s="34" t="s">
        <v>196</v>
      </c>
      <c r="D119" s="34" t="s">
        <v>362</v>
      </c>
      <c r="E119" s="34" t="s">
        <v>211</v>
      </c>
    </row>
    <row r="120" spans="1:5">
      <c r="A120" s="34" t="s">
        <v>85</v>
      </c>
      <c r="B120" s="34" t="s">
        <v>319</v>
      </c>
      <c r="C120" s="34" t="s">
        <v>320</v>
      </c>
      <c r="D120" s="34" t="s">
        <v>363</v>
      </c>
      <c r="E120" s="34" t="s">
        <v>202</v>
      </c>
    </row>
    <row r="121" spans="1:5">
      <c r="A121" s="34" t="s">
        <v>85</v>
      </c>
      <c r="B121" s="34" t="s">
        <v>248</v>
      </c>
      <c r="C121" s="34" t="s">
        <v>249</v>
      </c>
      <c r="D121" s="34" t="s">
        <v>364</v>
      </c>
      <c r="E121" s="34" t="s">
        <v>179</v>
      </c>
    </row>
    <row r="122" spans="1:5">
      <c r="A122" s="34" t="s">
        <v>85</v>
      </c>
      <c r="B122" s="34" t="s">
        <v>195</v>
      </c>
      <c r="C122" s="34" t="s">
        <v>196</v>
      </c>
      <c r="D122" s="34" t="s">
        <v>365</v>
      </c>
      <c r="E122" s="34" t="s">
        <v>209</v>
      </c>
    </row>
    <row r="123" spans="1:5">
      <c r="A123" s="34" t="s">
        <v>85</v>
      </c>
      <c r="B123" s="34" t="s">
        <v>186</v>
      </c>
      <c r="C123" s="34" t="s">
        <v>187</v>
      </c>
      <c r="D123" s="34" t="s">
        <v>366</v>
      </c>
      <c r="E123" s="34" t="s">
        <v>279</v>
      </c>
    </row>
    <row r="124" spans="1:5">
      <c r="A124" s="34" t="s">
        <v>85</v>
      </c>
      <c r="B124" s="34" t="s">
        <v>248</v>
      </c>
      <c r="C124" s="34" t="s">
        <v>249</v>
      </c>
      <c r="D124" s="34" t="s">
        <v>367</v>
      </c>
      <c r="E124" s="34" t="s">
        <v>179</v>
      </c>
    </row>
    <row r="125" spans="1:5">
      <c r="A125" s="34" t="s">
        <v>85</v>
      </c>
      <c r="B125" s="34" t="s">
        <v>302</v>
      </c>
      <c r="C125" s="34" t="s">
        <v>303</v>
      </c>
      <c r="D125" s="34" t="s">
        <v>368</v>
      </c>
      <c r="E125" s="34" t="s">
        <v>179</v>
      </c>
    </row>
    <row r="126" spans="1:5">
      <c r="A126" s="34" t="s">
        <v>85</v>
      </c>
      <c r="B126" s="34" t="s">
        <v>248</v>
      </c>
      <c r="C126" s="34" t="s">
        <v>249</v>
      </c>
      <c r="D126" s="34" t="s">
        <v>369</v>
      </c>
      <c r="E126" s="34" t="s">
        <v>194</v>
      </c>
    </row>
    <row r="127" spans="1:5">
      <c r="A127" s="34" t="s">
        <v>85</v>
      </c>
      <c r="B127" s="34" t="s">
        <v>176</v>
      </c>
      <c r="C127" s="34" t="s">
        <v>177</v>
      </c>
      <c r="D127" s="34" t="s">
        <v>370</v>
      </c>
      <c r="E127" s="34" t="s">
        <v>179</v>
      </c>
    </row>
    <row r="128" spans="1:5">
      <c r="A128" s="34" t="s">
        <v>85</v>
      </c>
      <c r="B128" s="34" t="s">
        <v>284</v>
      </c>
      <c r="C128" s="34" t="s">
        <v>285</v>
      </c>
      <c r="D128" s="34" t="s">
        <v>371</v>
      </c>
      <c r="E128" s="34" t="s">
        <v>179</v>
      </c>
    </row>
    <row r="129" spans="1:5">
      <c r="A129" s="34" t="s">
        <v>85</v>
      </c>
      <c r="B129" s="34" t="s">
        <v>264</v>
      </c>
      <c r="C129" s="34" t="s">
        <v>265</v>
      </c>
      <c r="D129" s="34" t="s">
        <v>372</v>
      </c>
      <c r="E129" s="34" t="s">
        <v>179</v>
      </c>
    </row>
    <row r="130" spans="1:5">
      <c r="A130" s="34" t="s">
        <v>85</v>
      </c>
      <c r="B130" s="34" t="s">
        <v>307</v>
      </c>
      <c r="C130" s="34" t="s">
        <v>308</v>
      </c>
      <c r="D130" s="34" t="s">
        <v>373</v>
      </c>
      <c r="E130" s="34" t="s">
        <v>179</v>
      </c>
    </row>
    <row r="131" spans="1:5">
      <c r="A131" s="34" t="s">
        <v>85</v>
      </c>
      <c r="B131" s="34" t="s">
        <v>206</v>
      </c>
      <c r="C131" s="34" t="s">
        <v>207</v>
      </c>
      <c r="D131" s="34" t="s">
        <v>374</v>
      </c>
      <c r="E131" s="34" t="s">
        <v>211</v>
      </c>
    </row>
    <row r="132" spans="1:5">
      <c r="A132" s="33" t="s">
        <v>47</v>
      </c>
      <c r="B132" s="34" t="s">
        <v>292</v>
      </c>
      <c r="C132" s="34" t="s">
        <v>293</v>
      </c>
      <c r="D132" s="34" t="s">
        <v>375</v>
      </c>
      <c r="E132" s="34" t="s">
        <v>189</v>
      </c>
    </row>
    <row r="133" spans="1:5">
      <c r="A133" s="33" t="s">
        <v>47</v>
      </c>
      <c r="B133" s="34" t="s">
        <v>222</v>
      </c>
      <c r="C133" s="34" t="s">
        <v>223</v>
      </c>
      <c r="D133" s="34" t="s">
        <v>376</v>
      </c>
      <c r="E133" s="34" t="s">
        <v>233</v>
      </c>
    </row>
    <row r="134" spans="1:5">
      <c r="A134" s="34" t="s">
        <v>85</v>
      </c>
      <c r="B134" s="34" t="s">
        <v>302</v>
      </c>
      <c r="C134" s="34" t="s">
        <v>303</v>
      </c>
      <c r="D134" s="34" t="s">
        <v>377</v>
      </c>
      <c r="E134" s="34" t="s">
        <v>179</v>
      </c>
    </row>
    <row r="135" spans="1:5">
      <c r="A135" s="34" t="s">
        <v>85</v>
      </c>
      <c r="B135" s="34" t="s">
        <v>319</v>
      </c>
      <c r="C135" s="34" t="s">
        <v>320</v>
      </c>
      <c r="D135" s="34" t="s">
        <v>378</v>
      </c>
      <c r="E135" s="34" t="s">
        <v>209</v>
      </c>
    </row>
    <row r="136" spans="1:5">
      <c r="A136" s="34" t="s">
        <v>85</v>
      </c>
      <c r="B136" s="34" t="s">
        <v>206</v>
      </c>
      <c r="C136" s="34" t="s">
        <v>207</v>
      </c>
      <c r="D136" s="34" t="s">
        <v>379</v>
      </c>
      <c r="E136" s="34" t="s">
        <v>194</v>
      </c>
    </row>
    <row r="137" spans="1:5">
      <c r="A137" s="33" t="s">
        <v>47</v>
      </c>
      <c r="B137" s="34" t="s">
        <v>272</v>
      </c>
      <c r="C137" s="34" t="s">
        <v>273</v>
      </c>
      <c r="D137" s="34" t="s">
        <v>380</v>
      </c>
      <c r="E137" s="34" t="s">
        <v>211</v>
      </c>
    </row>
    <row r="138" spans="1:5">
      <c r="A138" s="34" t="s">
        <v>85</v>
      </c>
      <c r="B138" s="34" t="s">
        <v>176</v>
      </c>
      <c r="C138" s="34" t="s">
        <v>177</v>
      </c>
      <c r="D138" s="34" t="s">
        <v>381</v>
      </c>
      <c r="E138" s="34" t="s">
        <v>179</v>
      </c>
    </row>
    <row r="139" spans="1:5">
      <c r="A139" s="34" t="s">
        <v>85</v>
      </c>
      <c r="B139" s="34" t="s">
        <v>307</v>
      </c>
      <c r="C139" s="34" t="s">
        <v>308</v>
      </c>
      <c r="D139" s="34" t="s">
        <v>382</v>
      </c>
      <c r="E139" s="34" t="s">
        <v>179</v>
      </c>
    </row>
    <row r="140" spans="1:5">
      <c r="A140" s="34" t="s">
        <v>85</v>
      </c>
      <c r="B140" s="34" t="s">
        <v>186</v>
      </c>
      <c r="C140" s="34" t="s">
        <v>187</v>
      </c>
      <c r="D140" s="34" t="s">
        <v>383</v>
      </c>
      <c r="E140" s="34" t="s">
        <v>179</v>
      </c>
    </row>
    <row r="141" spans="1:5">
      <c r="A141" s="34" t="s">
        <v>85</v>
      </c>
      <c r="B141" s="34" t="s">
        <v>206</v>
      </c>
      <c r="C141" s="34" t="s">
        <v>207</v>
      </c>
      <c r="D141" s="34" t="s">
        <v>384</v>
      </c>
      <c r="E141" s="34" t="s">
        <v>211</v>
      </c>
    </row>
    <row r="142" spans="1:5">
      <c r="A142" s="33" t="s">
        <v>47</v>
      </c>
      <c r="B142" s="34" t="s">
        <v>238</v>
      </c>
      <c r="C142" s="34" t="s">
        <v>239</v>
      </c>
      <c r="D142" s="34" t="s">
        <v>385</v>
      </c>
      <c r="E142" s="34" t="s">
        <v>233</v>
      </c>
    </row>
    <row r="143" spans="1:5">
      <c r="A143" s="34" t="s">
        <v>85</v>
      </c>
      <c r="B143" s="34" t="s">
        <v>191</v>
      </c>
      <c r="C143" s="34" t="s">
        <v>192</v>
      </c>
      <c r="D143" s="34" t="s">
        <v>386</v>
      </c>
      <c r="E143" s="34" t="s">
        <v>279</v>
      </c>
    </row>
    <row r="144" spans="1:5">
      <c r="A144" s="34" t="s">
        <v>85</v>
      </c>
      <c r="B144" s="34" t="s">
        <v>307</v>
      </c>
      <c r="C144" s="34" t="s">
        <v>308</v>
      </c>
      <c r="D144" s="34" t="s">
        <v>387</v>
      </c>
      <c r="E144" s="34" t="s">
        <v>179</v>
      </c>
    </row>
    <row r="145" spans="1:5">
      <c r="A145" s="34" t="s">
        <v>85</v>
      </c>
      <c r="B145" s="34" t="s">
        <v>284</v>
      </c>
      <c r="C145" s="34" t="s">
        <v>285</v>
      </c>
      <c r="D145" s="34" t="s">
        <v>388</v>
      </c>
      <c r="E145" s="34" t="s">
        <v>179</v>
      </c>
    </row>
    <row r="146" spans="1:5">
      <c r="A146" s="34" t="s">
        <v>85</v>
      </c>
      <c r="B146" s="34" t="s">
        <v>216</v>
      </c>
      <c r="C146" s="34" t="s">
        <v>217</v>
      </c>
      <c r="D146" s="34" t="s">
        <v>389</v>
      </c>
      <c r="E146" s="34" t="s">
        <v>189</v>
      </c>
    </row>
    <row r="147" spans="1:5">
      <c r="A147" s="34" t="s">
        <v>85</v>
      </c>
      <c r="B147" s="34" t="s">
        <v>191</v>
      </c>
      <c r="C147" s="34" t="s">
        <v>192</v>
      </c>
      <c r="D147" s="34" t="s">
        <v>390</v>
      </c>
      <c r="E147" s="34" t="s">
        <v>211</v>
      </c>
    </row>
    <row r="148" spans="1:5">
      <c r="A148" s="34" t="s">
        <v>85</v>
      </c>
      <c r="B148" s="34" t="s">
        <v>186</v>
      </c>
      <c r="C148" s="34" t="s">
        <v>187</v>
      </c>
      <c r="D148" s="34" t="s">
        <v>391</v>
      </c>
      <c r="E148" s="34" t="s">
        <v>209</v>
      </c>
    </row>
    <row r="149" spans="1:5">
      <c r="A149" s="34" t="s">
        <v>85</v>
      </c>
      <c r="B149" s="34" t="s">
        <v>307</v>
      </c>
      <c r="C149" s="34" t="s">
        <v>308</v>
      </c>
      <c r="D149" s="34" t="s">
        <v>392</v>
      </c>
      <c r="E149" s="34" t="s">
        <v>179</v>
      </c>
    </row>
    <row r="150" spans="1:5">
      <c r="A150" s="34" t="s">
        <v>85</v>
      </c>
      <c r="B150" s="34" t="s">
        <v>228</v>
      </c>
      <c r="C150" s="34" t="s">
        <v>229</v>
      </c>
      <c r="D150" s="34" t="s">
        <v>393</v>
      </c>
      <c r="E150" s="34" t="s">
        <v>179</v>
      </c>
    </row>
    <row r="151" spans="1:5">
      <c r="A151" s="33" t="s">
        <v>47</v>
      </c>
      <c r="B151" s="34" t="s">
        <v>203</v>
      </c>
      <c r="C151" s="34" t="s">
        <v>204</v>
      </c>
      <c r="D151" s="34" t="s">
        <v>394</v>
      </c>
      <c r="E151" s="34" t="s">
        <v>211</v>
      </c>
    </row>
    <row r="152" spans="1:5">
      <c r="A152" s="34" t="s">
        <v>85</v>
      </c>
      <c r="B152" s="34" t="s">
        <v>234</v>
      </c>
      <c r="C152" s="34" t="s">
        <v>235</v>
      </c>
      <c r="D152" s="34" t="s">
        <v>395</v>
      </c>
      <c r="E152" s="34" t="s">
        <v>179</v>
      </c>
    </row>
    <row r="153" spans="1:5">
      <c r="A153" s="34" t="s">
        <v>85</v>
      </c>
      <c r="B153" s="34" t="s">
        <v>284</v>
      </c>
      <c r="C153" s="34" t="s">
        <v>285</v>
      </c>
      <c r="D153" s="34" t="s">
        <v>396</v>
      </c>
      <c r="E153" s="34" t="s">
        <v>179</v>
      </c>
    </row>
    <row r="154" spans="1:5">
      <c r="A154" s="34" t="s">
        <v>85</v>
      </c>
      <c r="B154" s="34" t="s">
        <v>297</v>
      </c>
      <c r="C154" s="34" t="s">
        <v>298</v>
      </c>
      <c r="D154" s="34" t="s">
        <v>397</v>
      </c>
      <c r="E154" s="34" t="s">
        <v>179</v>
      </c>
    </row>
    <row r="155" spans="1:5">
      <c r="A155" s="34" t="s">
        <v>85</v>
      </c>
      <c r="B155" s="34" t="s">
        <v>297</v>
      </c>
      <c r="C155" s="34" t="s">
        <v>298</v>
      </c>
      <c r="D155" s="34" t="s">
        <v>398</v>
      </c>
      <c r="E155" s="34" t="s">
        <v>179</v>
      </c>
    </row>
    <row r="156" spans="1:5">
      <c r="A156" s="33" t="s">
        <v>47</v>
      </c>
      <c r="B156" s="34" t="s">
        <v>222</v>
      </c>
      <c r="C156" s="34" t="s">
        <v>223</v>
      </c>
      <c r="D156" s="34" t="s">
        <v>399</v>
      </c>
      <c r="E156" s="34" t="s">
        <v>202</v>
      </c>
    </row>
    <row r="157" spans="1:5">
      <c r="A157" s="34" t="s">
        <v>85</v>
      </c>
      <c r="B157" s="34" t="s">
        <v>212</v>
      </c>
      <c r="C157" s="34" t="s">
        <v>213</v>
      </c>
      <c r="D157" s="34" t="s">
        <v>400</v>
      </c>
      <c r="E157" s="34" t="s">
        <v>179</v>
      </c>
    </row>
    <row r="158" spans="1:5">
      <c r="A158" s="33" t="s">
        <v>47</v>
      </c>
      <c r="B158" s="34" t="s">
        <v>219</v>
      </c>
      <c r="C158" s="34" t="s">
        <v>220</v>
      </c>
      <c r="D158" s="34" t="s">
        <v>401</v>
      </c>
      <c r="E158" s="34" t="s">
        <v>189</v>
      </c>
    </row>
    <row r="159" spans="1:5">
      <c r="A159" s="34" t="s">
        <v>85</v>
      </c>
      <c r="B159" s="34" t="s">
        <v>206</v>
      </c>
      <c r="C159" s="34" t="s">
        <v>207</v>
      </c>
      <c r="D159" s="34" t="s">
        <v>402</v>
      </c>
      <c r="E159" s="34" t="s">
        <v>211</v>
      </c>
    </row>
    <row r="160" spans="1:5">
      <c r="A160" s="33" t="s">
        <v>47</v>
      </c>
      <c r="B160" s="34" t="s">
        <v>259</v>
      </c>
      <c r="C160" s="34" t="s">
        <v>260</v>
      </c>
      <c r="D160" s="34" t="s">
        <v>403</v>
      </c>
      <c r="E160" s="34" t="s">
        <v>233</v>
      </c>
    </row>
    <row r="161" spans="1:5">
      <c r="A161" s="33" t="s">
        <v>47</v>
      </c>
      <c r="B161" s="34" t="s">
        <v>272</v>
      </c>
      <c r="C161" s="34" t="s">
        <v>273</v>
      </c>
      <c r="D161" s="34" t="s">
        <v>404</v>
      </c>
      <c r="E161" s="34" t="s">
        <v>211</v>
      </c>
    </row>
    <row r="162" spans="1:5">
      <c r="A162" s="33" t="s">
        <v>47</v>
      </c>
      <c r="B162" s="34" t="s">
        <v>245</v>
      </c>
      <c r="C162" s="34" t="s">
        <v>246</v>
      </c>
      <c r="D162" s="34" t="s">
        <v>405</v>
      </c>
      <c r="E162" s="34" t="s">
        <v>211</v>
      </c>
    </row>
    <row r="163" spans="1:5">
      <c r="A163" s="34" t="s">
        <v>85</v>
      </c>
      <c r="B163" s="34" t="s">
        <v>228</v>
      </c>
      <c r="C163" s="34" t="s">
        <v>229</v>
      </c>
      <c r="D163" s="34" t="s">
        <v>406</v>
      </c>
      <c r="E163" s="34" t="s">
        <v>179</v>
      </c>
    </row>
    <row r="164" spans="1:5">
      <c r="A164" s="34" t="s">
        <v>85</v>
      </c>
      <c r="B164" s="34" t="s">
        <v>234</v>
      </c>
      <c r="C164" s="34" t="s">
        <v>235</v>
      </c>
      <c r="D164" s="34" t="s">
        <v>407</v>
      </c>
      <c r="E164" s="34" t="s">
        <v>279</v>
      </c>
    </row>
    <row r="165" spans="1:5">
      <c r="A165" s="33" t="s">
        <v>47</v>
      </c>
      <c r="B165" s="34" t="s">
        <v>219</v>
      </c>
      <c r="C165" s="34" t="s">
        <v>220</v>
      </c>
      <c r="D165" s="34" t="s">
        <v>408</v>
      </c>
      <c r="E165" s="34" t="s">
        <v>211</v>
      </c>
    </row>
    <row r="166" spans="1:5">
      <c r="A166" s="34" t="s">
        <v>85</v>
      </c>
      <c r="B166" s="34" t="s">
        <v>183</v>
      </c>
      <c r="C166" s="34" t="s">
        <v>184</v>
      </c>
      <c r="D166" s="34" t="s">
        <v>409</v>
      </c>
      <c r="E166" s="34" t="s">
        <v>179</v>
      </c>
    </row>
    <row r="167" spans="1:5">
      <c r="A167" s="34" t="s">
        <v>85</v>
      </c>
      <c r="B167" s="34" t="s">
        <v>297</v>
      </c>
      <c r="C167" s="34" t="s">
        <v>298</v>
      </c>
      <c r="D167" s="34" t="s">
        <v>410</v>
      </c>
      <c r="E167" s="34" t="s">
        <v>327</v>
      </c>
    </row>
    <row r="168" spans="1:5">
      <c r="A168" s="33" t="s">
        <v>47</v>
      </c>
      <c r="B168" s="34" t="s">
        <v>222</v>
      </c>
      <c r="C168" s="34" t="s">
        <v>223</v>
      </c>
      <c r="D168" s="34" t="s">
        <v>411</v>
      </c>
      <c r="E168" s="34" t="s">
        <v>211</v>
      </c>
    </row>
    <row r="169" spans="1:5">
      <c r="A169" s="33" t="s">
        <v>47</v>
      </c>
      <c r="B169" s="34" t="s">
        <v>203</v>
      </c>
      <c r="C169" s="34" t="s">
        <v>204</v>
      </c>
      <c r="D169" s="34" t="s">
        <v>412</v>
      </c>
      <c r="E169" s="34" t="s">
        <v>211</v>
      </c>
    </row>
    <row r="170" spans="1:5">
      <c r="A170" s="34" t="s">
        <v>85</v>
      </c>
      <c r="B170" s="34" t="s">
        <v>195</v>
      </c>
      <c r="C170" s="34" t="s">
        <v>196</v>
      </c>
      <c r="D170" s="34" t="s">
        <v>413</v>
      </c>
      <c r="E170" s="34" t="s">
        <v>211</v>
      </c>
    </row>
    <row r="171" spans="1:5">
      <c r="A171" s="33" t="s">
        <v>47</v>
      </c>
      <c r="B171" s="34" t="s">
        <v>259</v>
      </c>
      <c r="C171" s="34" t="s">
        <v>260</v>
      </c>
      <c r="D171" s="34" t="s">
        <v>414</v>
      </c>
      <c r="E171" s="34" t="s">
        <v>211</v>
      </c>
    </row>
    <row r="172" spans="1:5">
      <c r="A172" s="34" t="s">
        <v>85</v>
      </c>
      <c r="B172" s="34" t="s">
        <v>216</v>
      </c>
      <c r="C172" s="34" t="s">
        <v>217</v>
      </c>
      <c r="D172" s="34" t="s">
        <v>415</v>
      </c>
      <c r="E172" s="34" t="s">
        <v>179</v>
      </c>
    </row>
    <row r="173" spans="1:5">
      <c r="A173" s="33" t="s">
        <v>47</v>
      </c>
      <c r="B173" s="34" t="s">
        <v>242</v>
      </c>
      <c r="C173" s="34" t="s">
        <v>243</v>
      </c>
      <c r="D173" s="34" t="s">
        <v>416</v>
      </c>
      <c r="E173" s="34" t="s">
        <v>189</v>
      </c>
    </row>
    <row r="174" spans="1:5">
      <c r="A174" s="33" t="s">
        <v>47</v>
      </c>
      <c r="B174" s="34" t="s">
        <v>222</v>
      </c>
      <c r="C174" s="34" t="s">
        <v>223</v>
      </c>
      <c r="D174" s="34" t="s">
        <v>417</v>
      </c>
      <c r="E174" s="34" t="s">
        <v>189</v>
      </c>
    </row>
    <row r="175" spans="1:5">
      <c r="A175" s="33" t="s">
        <v>47</v>
      </c>
      <c r="B175" s="34" t="s">
        <v>242</v>
      </c>
      <c r="C175" s="34" t="s">
        <v>243</v>
      </c>
      <c r="D175" s="34" t="s">
        <v>418</v>
      </c>
      <c r="E175" s="34" t="s">
        <v>211</v>
      </c>
    </row>
    <row r="176" spans="1:5">
      <c r="A176" s="33" t="s">
        <v>47</v>
      </c>
      <c r="B176" s="34" t="s">
        <v>280</v>
      </c>
      <c r="C176" s="34" t="s">
        <v>281</v>
      </c>
      <c r="D176" s="34" t="s">
        <v>419</v>
      </c>
      <c r="E176" s="34" t="s">
        <v>194</v>
      </c>
    </row>
    <row r="177" spans="1:5">
      <c r="A177" s="34" t="s">
        <v>85</v>
      </c>
      <c r="B177" s="34" t="s">
        <v>228</v>
      </c>
      <c r="C177" s="34" t="s">
        <v>229</v>
      </c>
      <c r="D177" s="34" t="s">
        <v>420</v>
      </c>
      <c r="E177" s="34" t="s">
        <v>179</v>
      </c>
    </row>
    <row r="178" spans="1:5">
      <c r="A178" s="34" t="s">
        <v>85</v>
      </c>
      <c r="B178" s="34" t="s">
        <v>264</v>
      </c>
      <c r="C178" s="34" t="s">
        <v>265</v>
      </c>
      <c r="D178" s="34" t="s">
        <v>421</v>
      </c>
      <c r="E178" s="34" t="s">
        <v>179</v>
      </c>
    </row>
    <row r="179" spans="1:5">
      <c r="A179" s="34" t="s">
        <v>85</v>
      </c>
      <c r="B179" s="34" t="s">
        <v>216</v>
      </c>
      <c r="C179" s="34" t="s">
        <v>217</v>
      </c>
      <c r="D179" s="34" t="s">
        <v>422</v>
      </c>
      <c r="E179" s="34" t="s">
        <v>179</v>
      </c>
    </row>
    <row r="180" spans="1:5">
      <c r="A180" s="33" t="s">
        <v>47</v>
      </c>
      <c r="B180" s="34" t="s">
        <v>199</v>
      </c>
      <c r="C180" s="34" t="s">
        <v>200</v>
      </c>
      <c r="D180" s="34" t="s">
        <v>423</v>
      </c>
      <c r="E180" s="34" t="s">
        <v>211</v>
      </c>
    </row>
    <row r="181" spans="1:5">
      <c r="A181" s="34" t="s">
        <v>85</v>
      </c>
      <c r="B181" s="34" t="s">
        <v>212</v>
      </c>
      <c r="C181" s="34" t="s">
        <v>213</v>
      </c>
      <c r="D181" s="34" t="s">
        <v>424</v>
      </c>
      <c r="E181" s="34" t="s">
        <v>279</v>
      </c>
    </row>
    <row r="182" spans="1:5">
      <c r="A182" s="34" t="s">
        <v>85</v>
      </c>
      <c r="B182" s="34" t="s">
        <v>302</v>
      </c>
      <c r="C182" s="34" t="s">
        <v>303</v>
      </c>
      <c r="D182" s="34" t="s">
        <v>425</v>
      </c>
      <c r="E182" s="34" t="s">
        <v>179</v>
      </c>
    </row>
    <row r="183" spans="1:5">
      <c r="A183" s="33" t="s">
        <v>47</v>
      </c>
      <c r="B183" s="34" t="s">
        <v>245</v>
      </c>
      <c r="C183" s="34" t="s">
        <v>246</v>
      </c>
      <c r="D183" s="34" t="s">
        <v>426</v>
      </c>
      <c r="E183" s="34" t="s">
        <v>211</v>
      </c>
    </row>
    <row r="184" spans="1:5">
      <c r="A184" s="34" t="s">
        <v>85</v>
      </c>
      <c r="B184" s="34" t="s">
        <v>195</v>
      </c>
      <c r="C184" s="34" t="s">
        <v>196</v>
      </c>
      <c r="D184" s="34" t="s">
        <v>427</v>
      </c>
      <c r="E184" s="34" t="s">
        <v>211</v>
      </c>
    </row>
    <row r="185" spans="1:5">
      <c r="A185" s="34" t="s">
        <v>85</v>
      </c>
      <c r="B185" s="34" t="s">
        <v>180</v>
      </c>
      <c r="C185" s="34" t="s">
        <v>181</v>
      </c>
      <c r="D185" s="34" t="s">
        <v>428</v>
      </c>
      <c r="E185" s="34" t="s">
        <v>179</v>
      </c>
    </row>
    <row r="186" spans="1:5">
      <c r="A186" s="34" t="s">
        <v>85</v>
      </c>
      <c r="B186" s="34" t="s">
        <v>234</v>
      </c>
      <c r="C186" s="34" t="s">
        <v>235</v>
      </c>
      <c r="D186" s="34" t="s">
        <v>429</v>
      </c>
      <c r="E186" s="34" t="s">
        <v>179</v>
      </c>
    </row>
    <row r="187" spans="1:5">
      <c r="A187" s="34" t="s">
        <v>85</v>
      </c>
      <c r="B187" s="34" t="s">
        <v>195</v>
      </c>
      <c r="C187" s="34" t="s">
        <v>196</v>
      </c>
      <c r="D187" s="34" t="s">
        <v>430</v>
      </c>
      <c r="E187" s="34" t="s">
        <v>211</v>
      </c>
    </row>
    <row r="188" spans="1:5">
      <c r="A188" s="34" t="s">
        <v>85</v>
      </c>
      <c r="B188" s="34" t="s">
        <v>195</v>
      </c>
      <c r="C188" s="34" t="s">
        <v>196</v>
      </c>
      <c r="D188" s="34" t="s">
        <v>431</v>
      </c>
      <c r="E188" s="34" t="s">
        <v>211</v>
      </c>
    </row>
    <row r="189" spans="1:5">
      <c r="A189" s="34" t="s">
        <v>85</v>
      </c>
      <c r="B189" s="34" t="s">
        <v>186</v>
      </c>
      <c r="C189" s="34" t="s">
        <v>187</v>
      </c>
      <c r="D189" s="34" t="s">
        <v>432</v>
      </c>
      <c r="E189" s="34" t="s">
        <v>179</v>
      </c>
    </row>
    <row r="190" spans="1:5">
      <c r="A190" s="33" t="s">
        <v>47</v>
      </c>
      <c r="B190" s="34" t="s">
        <v>280</v>
      </c>
      <c r="C190" s="34" t="s">
        <v>281</v>
      </c>
      <c r="D190" s="34" t="s">
        <v>433</v>
      </c>
      <c r="E190" s="34" t="s">
        <v>211</v>
      </c>
    </row>
    <row r="191" spans="1:5">
      <c r="A191" s="34" t="s">
        <v>85</v>
      </c>
      <c r="B191" s="34" t="s">
        <v>284</v>
      </c>
      <c r="C191" s="34" t="s">
        <v>285</v>
      </c>
      <c r="D191" s="34" t="s">
        <v>434</v>
      </c>
      <c r="E191" s="34" t="s">
        <v>279</v>
      </c>
    </row>
    <row r="192" spans="1:5">
      <c r="A192" s="33" t="s">
        <v>47</v>
      </c>
      <c r="B192" s="34" t="s">
        <v>242</v>
      </c>
      <c r="C192" s="34" t="s">
        <v>243</v>
      </c>
      <c r="D192" s="34" t="s">
        <v>435</v>
      </c>
      <c r="E192" s="34" t="s">
        <v>233</v>
      </c>
    </row>
    <row r="193" spans="1:5">
      <c r="A193" s="33" t="s">
        <v>47</v>
      </c>
      <c r="B193" s="34" t="s">
        <v>245</v>
      </c>
      <c r="C193" s="34" t="s">
        <v>246</v>
      </c>
      <c r="D193" s="34" t="s">
        <v>436</v>
      </c>
      <c r="E193" s="34" t="s">
        <v>233</v>
      </c>
    </row>
    <row r="194" spans="1:5">
      <c r="A194" s="34" t="s">
        <v>85</v>
      </c>
      <c r="B194" s="34" t="s">
        <v>212</v>
      </c>
      <c r="C194" s="34" t="s">
        <v>213</v>
      </c>
      <c r="D194" s="34" t="s">
        <v>437</v>
      </c>
      <c r="E194" s="34" t="s">
        <v>179</v>
      </c>
    </row>
    <row r="195" spans="1:5">
      <c r="A195" s="34" t="s">
        <v>85</v>
      </c>
      <c r="B195" s="34" t="s">
        <v>183</v>
      </c>
      <c r="C195" s="34" t="s">
        <v>184</v>
      </c>
      <c r="D195" s="34" t="s">
        <v>438</v>
      </c>
      <c r="E195" s="34" t="s">
        <v>327</v>
      </c>
    </row>
    <row r="196" spans="1:5">
      <c r="A196" s="34" t="s">
        <v>85</v>
      </c>
      <c r="B196" s="34" t="s">
        <v>191</v>
      </c>
      <c r="C196" s="34" t="s">
        <v>192</v>
      </c>
      <c r="D196" s="34" t="s">
        <v>439</v>
      </c>
      <c r="E196" s="34" t="s">
        <v>211</v>
      </c>
    </row>
    <row r="197" spans="1:5">
      <c r="A197" s="34" t="s">
        <v>85</v>
      </c>
      <c r="B197" s="34" t="s">
        <v>191</v>
      </c>
      <c r="C197" s="34" t="s">
        <v>192</v>
      </c>
      <c r="D197" s="34" t="s">
        <v>440</v>
      </c>
      <c r="E197" s="34" t="s">
        <v>189</v>
      </c>
    </row>
    <row r="198" spans="1:5">
      <c r="A198" s="34" t="s">
        <v>85</v>
      </c>
      <c r="B198" s="34" t="s">
        <v>195</v>
      </c>
      <c r="C198" s="34" t="s">
        <v>196</v>
      </c>
      <c r="D198" s="34" t="s">
        <v>441</v>
      </c>
      <c r="E198" s="34" t="s">
        <v>194</v>
      </c>
    </row>
    <row r="199" spans="1:5">
      <c r="A199" s="33" t="s">
        <v>47</v>
      </c>
      <c r="B199" s="34" t="s">
        <v>238</v>
      </c>
      <c r="C199" s="34" t="s">
        <v>239</v>
      </c>
      <c r="D199" s="34" t="s">
        <v>442</v>
      </c>
      <c r="E199" s="34" t="s">
        <v>189</v>
      </c>
    </row>
    <row r="200" spans="1:5">
      <c r="A200" s="34" t="s">
        <v>85</v>
      </c>
      <c r="B200" s="34" t="s">
        <v>297</v>
      </c>
      <c r="C200" s="34" t="s">
        <v>298</v>
      </c>
      <c r="D200" s="34" t="s">
        <v>443</v>
      </c>
      <c r="E200" s="34" t="s">
        <v>179</v>
      </c>
    </row>
    <row r="201" spans="1:5">
      <c r="A201" s="34" t="s">
        <v>85</v>
      </c>
      <c r="B201" s="34" t="s">
        <v>248</v>
      </c>
      <c r="C201" s="34" t="s">
        <v>249</v>
      </c>
      <c r="D201" s="34" t="s">
        <v>444</v>
      </c>
      <c r="E201" s="34" t="s">
        <v>279</v>
      </c>
    </row>
    <row r="202" spans="1:5">
      <c r="A202" s="33" t="s">
        <v>47</v>
      </c>
      <c r="B202" s="34" t="s">
        <v>245</v>
      </c>
      <c r="C202" s="34" t="s">
        <v>246</v>
      </c>
      <c r="D202" s="34" t="s">
        <v>445</v>
      </c>
      <c r="E202" s="34" t="s">
        <v>202</v>
      </c>
    </row>
    <row r="203" spans="1:5">
      <c r="A203" s="34" t="s">
        <v>85</v>
      </c>
      <c r="B203" s="34" t="s">
        <v>180</v>
      </c>
      <c r="C203" s="34" t="s">
        <v>181</v>
      </c>
      <c r="D203" s="34" t="s">
        <v>446</v>
      </c>
      <c r="E203" s="34" t="s">
        <v>179</v>
      </c>
    </row>
    <row r="204" spans="1:5">
      <c r="A204" s="34" t="s">
        <v>85</v>
      </c>
      <c r="B204" s="34" t="s">
        <v>212</v>
      </c>
      <c r="C204" s="34" t="s">
        <v>213</v>
      </c>
      <c r="D204" s="34" t="s">
        <v>447</v>
      </c>
      <c r="E204" s="34" t="s">
        <v>179</v>
      </c>
    </row>
    <row r="205" spans="1:5">
      <c r="A205" s="34" t="s">
        <v>85</v>
      </c>
      <c r="B205" s="34" t="s">
        <v>195</v>
      </c>
      <c r="C205" s="34" t="s">
        <v>196</v>
      </c>
      <c r="D205" s="34" t="s">
        <v>448</v>
      </c>
      <c r="E205" s="34" t="s">
        <v>211</v>
      </c>
    </row>
    <row r="206" spans="1:5">
      <c r="A206" s="33" t="s">
        <v>47</v>
      </c>
      <c r="B206" s="34" t="s">
        <v>242</v>
      </c>
      <c r="C206" s="34" t="s">
        <v>243</v>
      </c>
      <c r="D206" s="34" t="s">
        <v>449</v>
      </c>
      <c r="E206" s="34" t="s">
        <v>211</v>
      </c>
    </row>
    <row r="207" spans="1:5">
      <c r="A207" s="34" t="s">
        <v>85</v>
      </c>
      <c r="B207" s="34" t="s">
        <v>183</v>
      </c>
      <c r="C207" s="34" t="s">
        <v>184</v>
      </c>
      <c r="D207" s="34" t="s">
        <v>450</v>
      </c>
      <c r="E207" s="34" t="s">
        <v>189</v>
      </c>
    </row>
    <row r="208" spans="1:5">
      <c r="A208" s="34" t="s">
        <v>85</v>
      </c>
      <c r="B208" s="34" t="s">
        <v>248</v>
      </c>
      <c r="C208" s="34" t="s">
        <v>249</v>
      </c>
      <c r="D208" s="34" t="s">
        <v>451</v>
      </c>
      <c r="E208" s="34" t="s">
        <v>179</v>
      </c>
    </row>
    <row r="209" spans="1:5">
      <c r="A209" s="34" t="s">
        <v>85</v>
      </c>
      <c r="B209" s="34" t="s">
        <v>206</v>
      </c>
      <c r="C209" s="34" t="s">
        <v>207</v>
      </c>
      <c r="D209" s="34" t="s">
        <v>452</v>
      </c>
      <c r="E209" s="34" t="s">
        <v>211</v>
      </c>
    </row>
    <row r="210" spans="1:5">
      <c r="A210" s="33" t="s">
        <v>47</v>
      </c>
      <c r="B210" s="34" t="s">
        <v>238</v>
      </c>
      <c r="C210" s="34" t="s">
        <v>239</v>
      </c>
      <c r="D210" s="34" t="s">
        <v>453</v>
      </c>
      <c r="E210" s="34" t="s">
        <v>189</v>
      </c>
    </row>
    <row r="211" spans="1:5">
      <c r="A211" s="34" t="s">
        <v>85</v>
      </c>
      <c r="B211" s="34" t="s">
        <v>176</v>
      </c>
      <c r="C211" s="34" t="s">
        <v>177</v>
      </c>
      <c r="D211" s="34" t="s">
        <v>454</v>
      </c>
      <c r="E211" s="34" t="s">
        <v>179</v>
      </c>
    </row>
    <row r="212" spans="1:5">
      <c r="A212" s="33" t="s">
        <v>47</v>
      </c>
      <c r="B212" s="34" t="s">
        <v>280</v>
      </c>
      <c r="C212" s="34" t="s">
        <v>281</v>
      </c>
      <c r="D212" s="34" t="s">
        <v>455</v>
      </c>
      <c r="E212" s="34" t="s">
        <v>202</v>
      </c>
    </row>
    <row r="213" spans="1:5">
      <c r="A213" s="34" t="s">
        <v>85</v>
      </c>
      <c r="B213" s="34" t="s">
        <v>307</v>
      </c>
      <c r="C213" s="34" t="s">
        <v>308</v>
      </c>
      <c r="D213" s="34" t="s">
        <v>456</v>
      </c>
      <c r="E213" s="34" t="s">
        <v>179</v>
      </c>
    </row>
    <row r="214" spans="1:5">
      <c r="A214" s="33" t="s">
        <v>47</v>
      </c>
      <c r="B214" s="34" t="s">
        <v>245</v>
      </c>
      <c r="C214" s="34" t="s">
        <v>246</v>
      </c>
      <c r="D214" s="34" t="s">
        <v>457</v>
      </c>
      <c r="E214" s="34" t="s">
        <v>211</v>
      </c>
    </row>
    <row r="215" spans="1:5">
      <c r="A215" s="34" t="s">
        <v>85</v>
      </c>
      <c r="B215" s="34" t="s">
        <v>212</v>
      </c>
      <c r="C215" s="34" t="s">
        <v>213</v>
      </c>
      <c r="D215" s="34" t="s">
        <v>458</v>
      </c>
      <c r="E215" s="34" t="s">
        <v>179</v>
      </c>
    </row>
    <row r="216" spans="1:5">
      <c r="A216" s="34" t="s">
        <v>85</v>
      </c>
      <c r="B216" s="34" t="s">
        <v>255</v>
      </c>
      <c r="C216" s="34" t="s">
        <v>256</v>
      </c>
      <c r="D216" s="34" t="s">
        <v>459</v>
      </c>
      <c r="E216" s="34" t="s">
        <v>179</v>
      </c>
    </row>
    <row r="217" spans="1:5">
      <c r="A217" s="33" t="s">
        <v>47</v>
      </c>
      <c r="B217" s="34" t="s">
        <v>222</v>
      </c>
      <c r="C217" s="34" t="s">
        <v>223</v>
      </c>
      <c r="D217" s="34" t="s">
        <v>460</v>
      </c>
      <c r="E217" s="34" t="s">
        <v>211</v>
      </c>
    </row>
    <row r="218" spans="1:5">
      <c r="A218" s="34" t="s">
        <v>85</v>
      </c>
      <c r="B218" s="34" t="s">
        <v>319</v>
      </c>
      <c r="C218" s="34" t="s">
        <v>320</v>
      </c>
      <c r="D218" s="34" t="s">
        <v>461</v>
      </c>
      <c r="E218" s="34" t="s">
        <v>211</v>
      </c>
    </row>
    <row r="219" spans="1:5">
      <c r="A219" s="34" t="s">
        <v>85</v>
      </c>
      <c r="B219" s="34" t="s">
        <v>212</v>
      </c>
      <c r="C219" s="34" t="s">
        <v>213</v>
      </c>
      <c r="D219" s="34" t="s">
        <v>462</v>
      </c>
      <c r="E219" s="34" t="s">
        <v>189</v>
      </c>
    </row>
    <row r="220" spans="1:5">
      <c r="A220" s="34" t="s">
        <v>85</v>
      </c>
      <c r="B220" s="34" t="s">
        <v>186</v>
      </c>
      <c r="C220" s="34" t="s">
        <v>187</v>
      </c>
      <c r="D220" s="34" t="s">
        <v>463</v>
      </c>
      <c r="E220" s="34" t="s">
        <v>179</v>
      </c>
    </row>
    <row r="221" spans="1:5">
      <c r="A221" s="34" t="s">
        <v>85</v>
      </c>
      <c r="B221" s="34" t="s">
        <v>191</v>
      </c>
      <c r="C221" s="34" t="s">
        <v>192</v>
      </c>
      <c r="D221" s="34" t="s">
        <v>464</v>
      </c>
      <c r="E221" s="34" t="s">
        <v>211</v>
      </c>
    </row>
    <row r="222" spans="1:5">
      <c r="A222" s="34" t="s">
        <v>85</v>
      </c>
      <c r="B222" s="34" t="s">
        <v>228</v>
      </c>
      <c r="C222" s="34" t="s">
        <v>229</v>
      </c>
      <c r="D222" s="34" t="s">
        <v>465</v>
      </c>
      <c r="E222" s="34" t="s">
        <v>327</v>
      </c>
    </row>
    <row r="223" spans="1:5">
      <c r="A223" s="34" t="s">
        <v>85</v>
      </c>
      <c r="B223" s="34" t="s">
        <v>297</v>
      </c>
      <c r="C223" s="34" t="s">
        <v>298</v>
      </c>
      <c r="D223" s="34" t="s">
        <v>466</v>
      </c>
      <c r="E223" s="34" t="s">
        <v>179</v>
      </c>
    </row>
    <row r="224" spans="1:5">
      <c r="A224" s="34" t="s">
        <v>85</v>
      </c>
      <c r="B224" s="34" t="s">
        <v>319</v>
      </c>
      <c r="C224" s="34" t="s">
        <v>320</v>
      </c>
      <c r="D224" s="34" t="s">
        <v>467</v>
      </c>
      <c r="E224" s="34" t="s">
        <v>211</v>
      </c>
    </row>
    <row r="225" spans="1:5">
      <c r="A225" s="34" t="s">
        <v>85</v>
      </c>
      <c r="B225" s="34" t="s">
        <v>302</v>
      </c>
      <c r="C225" s="34" t="s">
        <v>303</v>
      </c>
      <c r="D225" s="34" t="s">
        <v>468</v>
      </c>
      <c r="E225" s="34" t="s">
        <v>189</v>
      </c>
    </row>
    <row r="226" spans="1:5">
      <c r="A226" s="33" t="s">
        <v>47</v>
      </c>
      <c r="B226" s="34" t="s">
        <v>222</v>
      </c>
      <c r="C226" s="34" t="s">
        <v>223</v>
      </c>
      <c r="D226" s="34" t="s">
        <v>469</v>
      </c>
      <c r="E226" s="34" t="s">
        <v>211</v>
      </c>
    </row>
    <row r="227" spans="1:5">
      <c r="A227" s="34" t="s">
        <v>85</v>
      </c>
      <c r="B227" s="34" t="s">
        <v>216</v>
      </c>
      <c r="C227" s="34" t="s">
        <v>217</v>
      </c>
      <c r="D227" s="34" t="s">
        <v>470</v>
      </c>
      <c r="E227" s="34" t="s">
        <v>179</v>
      </c>
    </row>
    <row r="228" spans="1:5">
      <c r="A228" s="34" t="s">
        <v>85</v>
      </c>
      <c r="B228" s="34" t="s">
        <v>206</v>
      </c>
      <c r="C228" s="34" t="s">
        <v>207</v>
      </c>
      <c r="D228" s="34" t="s">
        <v>471</v>
      </c>
      <c r="E228" s="34" t="s">
        <v>189</v>
      </c>
    </row>
    <row r="229" spans="1:5">
      <c r="A229" s="33" t="s">
        <v>47</v>
      </c>
      <c r="B229" s="34" t="s">
        <v>199</v>
      </c>
      <c r="C229" s="34" t="s">
        <v>200</v>
      </c>
      <c r="D229" s="34" t="s">
        <v>472</v>
      </c>
      <c r="E229" s="34" t="s">
        <v>211</v>
      </c>
    </row>
    <row r="230" spans="1:5">
      <c r="A230" s="34" t="s">
        <v>85</v>
      </c>
      <c r="B230" s="34" t="s">
        <v>297</v>
      </c>
      <c r="C230" s="34" t="s">
        <v>298</v>
      </c>
      <c r="D230" s="34" t="s">
        <v>473</v>
      </c>
      <c r="E230" s="34" t="s">
        <v>179</v>
      </c>
    </row>
    <row r="231" spans="1:5">
      <c r="A231" s="34" t="s">
        <v>85</v>
      </c>
      <c r="B231" s="34" t="s">
        <v>264</v>
      </c>
      <c r="C231" s="34" t="s">
        <v>265</v>
      </c>
      <c r="D231" s="34" t="s">
        <v>474</v>
      </c>
      <c r="E231" s="34" t="s">
        <v>179</v>
      </c>
    </row>
    <row r="232" spans="1:5">
      <c r="A232" s="33" t="s">
        <v>47</v>
      </c>
      <c r="B232" s="34" t="s">
        <v>242</v>
      </c>
      <c r="C232" s="34" t="s">
        <v>243</v>
      </c>
      <c r="D232" s="34" t="s">
        <v>475</v>
      </c>
      <c r="E232" s="34" t="s">
        <v>202</v>
      </c>
    </row>
    <row r="233" spans="1:5">
      <c r="A233" s="34" t="s">
        <v>85</v>
      </c>
      <c r="B233" s="34" t="s">
        <v>248</v>
      </c>
      <c r="C233" s="34" t="s">
        <v>249</v>
      </c>
      <c r="D233" s="34" t="s">
        <v>476</v>
      </c>
      <c r="E233" s="34" t="s">
        <v>179</v>
      </c>
    </row>
    <row r="234" spans="1:5">
      <c r="A234" s="34" t="s">
        <v>85</v>
      </c>
      <c r="B234" s="34" t="s">
        <v>264</v>
      </c>
      <c r="C234" s="34" t="s">
        <v>265</v>
      </c>
      <c r="D234" s="34" t="s">
        <v>477</v>
      </c>
      <c r="E234" s="34" t="s">
        <v>179</v>
      </c>
    </row>
    <row r="235" spans="1:5">
      <c r="A235" s="34" t="s">
        <v>85</v>
      </c>
      <c r="B235" s="34" t="s">
        <v>186</v>
      </c>
      <c r="C235" s="34" t="s">
        <v>187</v>
      </c>
      <c r="D235" s="34" t="s">
        <v>478</v>
      </c>
      <c r="E235" s="34" t="s">
        <v>179</v>
      </c>
    </row>
    <row r="236" spans="1:5">
      <c r="A236" s="34" t="s">
        <v>85</v>
      </c>
      <c r="B236" s="34" t="s">
        <v>186</v>
      </c>
      <c r="C236" s="34" t="s">
        <v>187</v>
      </c>
      <c r="D236" s="34" t="s">
        <v>479</v>
      </c>
      <c r="E236" s="34" t="s">
        <v>179</v>
      </c>
    </row>
    <row r="237" spans="1:5">
      <c r="A237" s="34" t="s">
        <v>85</v>
      </c>
      <c r="B237" s="34" t="s">
        <v>183</v>
      </c>
      <c r="C237" s="34" t="s">
        <v>184</v>
      </c>
      <c r="D237" s="34" t="s">
        <v>480</v>
      </c>
      <c r="E237" s="34" t="s">
        <v>279</v>
      </c>
    </row>
    <row r="238" spans="1:5">
      <c r="A238" s="34" t="s">
        <v>85</v>
      </c>
      <c r="B238" s="34" t="s">
        <v>195</v>
      </c>
      <c r="C238" s="34" t="s">
        <v>196</v>
      </c>
      <c r="D238" s="34" t="s">
        <v>481</v>
      </c>
      <c r="E238" s="34" t="s">
        <v>211</v>
      </c>
    </row>
    <row r="239" spans="1:5">
      <c r="A239" s="34" t="s">
        <v>85</v>
      </c>
      <c r="B239" s="34" t="s">
        <v>183</v>
      </c>
      <c r="C239" s="34" t="s">
        <v>184</v>
      </c>
      <c r="D239" s="34" t="s">
        <v>482</v>
      </c>
      <c r="E239" s="34" t="s">
        <v>179</v>
      </c>
    </row>
    <row r="240" spans="1:5">
      <c r="A240" s="33" t="s">
        <v>47</v>
      </c>
      <c r="B240" s="34" t="s">
        <v>280</v>
      </c>
      <c r="C240" s="34" t="s">
        <v>281</v>
      </c>
      <c r="D240" s="34" t="s">
        <v>483</v>
      </c>
      <c r="E240" s="34" t="s">
        <v>211</v>
      </c>
    </row>
    <row r="241" spans="1:5">
      <c r="A241" s="34" t="s">
        <v>85</v>
      </c>
      <c r="B241" s="34" t="s">
        <v>319</v>
      </c>
      <c r="C241" s="34" t="s">
        <v>320</v>
      </c>
      <c r="D241" s="34" t="s">
        <v>484</v>
      </c>
      <c r="E241" s="34" t="s">
        <v>211</v>
      </c>
    </row>
    <row r="242" spans="1:5">
      <c r="A242" s="33" t="s">
        <v>47</v>
      </c>
      <c r="B242" s="34" t="s">
        <v>199</v>
      </c>
      <c r="C242" s="34" t="s">
        <v>200</v>
      </c>
      <c r="D242" s="34" t="s">
        <v>485</v>
      </c>
      <c r="E242" s="34" t="s">
        <v>189</v>
      </c>
    </row>
    <row r="243" spans="1:5">
      <c r="A243" s="33" t="s">
        <v>47</v>
      </c>
      <c r="B243" s="34" t="s">
        <v>199</v>
      </c>
      <c r="C243" s="34" t="s">
        <v>200</v>
      </c>
      <c r="D243" s="34" t="s">
        <v>486</v>
      </c>
      <c r="E243" s="34" t="s">
        <v>194</v>
      </c>
    </row>
    <row r="244" spans="1:5">
      <c r="A244" s="34" t="s">
        <v>85</v>
      </c>
      <c r="B244" s="34" t="s">
        <v>206</v>
      </c>
      <c r="C244" s="34" t="s">
        <v>207</v>
      </c>
      <c r="D244" s="34" t="s">
        <v>487</v>
      </c>
      <c r="E244" s="34" t="s">
        <v>211</v>
      </c>
    </row>
    <row r="245" spans="1:5">
      <c r="A245" s="34" t="s">
        <v>85</v>
      </c>
      <c r="B245" s="34" t="s">
        <v>183</v>
      </c>
      <c r="C245" s="34" t="s">
        <v>184</v>
      </c>
      <c r="D245" s="34" t="s">
        <v>488</v>
      </c>
      <c r="E245" s="34" t="s">
        <v>179</v>
      </c>
    </row>
    <row r="246" spans="1:5">
      <c r="A246" s="33" t="s">
        <v>47</v>
      </c>
      <c r="B246" s="34" t="s">
        <v>280</v>
      </c>
      <c r="C246" s="34" t="s">
        <v>281</v>
      </c>
      <c r="D246" s="34" t="s">
        <v>489</v>
      </c>
      <c r="E246" s="34" t="s">
        <v>233</v>
      </c>
    </row>
    <row r="247" spans="1:5">
      <c r="A247" s="34" t="s">
        <v>85</v>
      </c>
      <c r="B247" s="34" t="s">
        <v>264</v>
      </c>
      <c r="C247" s="34" t="s">
        <v>265</v>
      </c>
      <c r="D247" s="34" t="s">
        <v>490</v>
      </c>
      <c r="E247" s="34" t="s">
        <v>179</v>
      </c>
    </row>
    <row r="248" spans="1:5">
      <c r="A248" s="34" t="s">
        <v>85</v>
      </c>
      <c r="B248" s="34" t="s">
        <v>183</v>
      </c>
      <c r="C248" s="34" t="s">
        <v>184</v>
      </c>
      <c r="D248" s="34" t="s">
        <v>491</v>
      </c>
      <c r="E248" s="34" t="s">
        <v>179</v>
      </c>
    </row>
    <row r="249" spans="1:5">
      <c r="A249" s="33" t="s">
        <v>47</v>
      </c>
      <c r="B249" s="34" t="s">
        <v>242</v>
      </c>
      <c r="C249" s="34" t="s">
        <v>243</v>
      </c>
      <c r="D249" s="34" t="s">
        <v>492</v>
      </c>
      <c r="E249" s="34" t="s">
        <v>211</v>
      </c>
    </row>
    <row r="250" spans="1:5">
      <c r="A250" s="34" t="s">
        <v>85</v>
      </c>
      <c r="B250" s="34" t="s">
        <v>195</v>
      </c>
      <c r="C250" s="34" t="s">
        <v>196</v>
      </c>
      <c r="D250" s="34" t="s">
        <v>493</v>
      </c>
      <c r="E250" s="34" t="s">
        <v>211</v>
      </c>
    </row>
    <row r="251" spans="1:5">
      <c r="A251" s="33" t="s">
        <v>47</v>
      </c>
      <c r="B251" s="34" t="s">
        <v>219</v>
      </c>
      <c r="C251" s="34" t="s">
        <v>220</v>
      </c>
      <c r="D251" s="34" t="s">
        <v>494</v>
      </c>
      <c r="E251" s="34" t="s">
        <v>211</v>
      </c>
    </row>
    <row r="252" spans="1:5">
      <c r="A252" s="34" t="s">
        <v>85</v>
      </c>
      <c r="B252" s="34" t="s">
        <v>319</v>
      </c>
      <c r="C252" s="34" t="s">
        <v>320</v>
      </c>
      <c r="D252" s="34" t="s">
        <v>495</v>
      </c>
      <c r="E252" s="34" t="s">
        <v>194</v>
      </c>
    </row>
    <row r="253" spans="1:5">
      <c r="A253" s="34" t="s">
        <v>85</v>
      </c>
      <c r="B253" s="34" t="s">
        <v>176</v>
      </c>
      <c r="C253" s="34" t="s">
        <v>177</v>
      </c>
      <c r="D253" s="34" t="s">
        <v>496</v>
      </c>
      <c r="E253" s="34" t="s">
        <v>179</v>
      </c>
    </row>
    <row r="254" spans="1:5">
      <c r="A254" s="34" t="s">
        <v>85</v>
      </c>
      <c r="B254" s="34" t="s">
        <v>319</v>
      </c>
      <c r="C254" s="34" t="s">
        <v>320</v>
      </c>
      <c r="D254" s="34" t="s">
        <v>497</v>
      </c>
      <c r="E254" s="34" t="s">
        <v>194</v>
      </c>
    </row>
    <row r="255" spans="1:5">
      <c r="A255" s="33" t="s">
        <v>47</v>
      </c>
      <c r="B255" s="34" t="s">
        <v>280</v>
      </c>
      <c r="C255" s="34" t="s">
        <v>281</v>
      </c>
      <c r="D255" s="34" t="s">
        <v>498</v>
      </c>
      <c r="E255" s="34" t="s">
        <v>211</v>
      </c>
    </row>
    <row r="256" spans="1:5">
      <c r="A256" s="34" t="s">
        <v>85</v>
      </c>
      <c r="B256" s="34" t="s">
        <v>206</v>
      </c>
      <c r="C256" s="34" t="s">
        <v>207</v>
      </c>
      <c r="D256" s="34" t="s">
        <v>499</v>
      </c>
      <c r="E256" s="34" t="s">
        <v>211</v>
      </c>
    </row>
    <row r="257" spans="1:5">
      <c r="A257" s="33" t="s">
        <v>47</v>
      </c>
      <c r="B257" s="34" t="s">
        <v>222</v>
      </c>
      <c r="C257" s="34" t="s">
        <v>223</v>
      </c>
      <c r="D257" s="34" t="s">
        <v>500</v>
      </c>
      <c r="E257" s="34" t="s">
        <v>211</v>
      </c>
    </row>
    <row r="258" spans="1:5">
      <c r="A258" s="34" t="s">
        <v>85</v>
      </c>
      <c r="B258" s="34" t="s">
        <v>180</v>
      </c>
      <c r="C258" s="34" t="s">
        <v>181</v>
      </c>
      <c r="D258" s="34" t="s">
        <v>501</v>
      </c>
      <c r="E258" s="34" t="s">
        <v>179</v>
      </c>
    </row>
    <row r="259" spans="1:5">
      <c r="A259" s="33" t="s">
        <v>47</v>
      </c>
      <c r="B259" s="34" t="s">
        <v>238</v>
      </c>
      <c r="C259" s="34" t="s">
        <v>239</v>
      </c>
      <c r="D259" s="34" t="s">
        <v>502</v>
      </c>
      <c r="E259" s="34" t="s">
        <v>202</v>
      </c>
    </row>
    <row r="260" spans="1:5">
      <c r="A260" s="33" t="s">
        <v>47</v>
      </c>
      <c r="B260" s="34" t="s">
        <v>292</v>
      </c>
      <c r="C260" s="34" t="s">
        <v>293</v>
      </c>
      <c r="D260" s="34" t="s">
        <v>503</v>
      </c>
      <c r="E260" s="34" t="s">
        <v>209</v>
      </c>
    </row>
    <row r="261" spans="1:5">
      <c r="A261" s="34" t="s">
        <v>85</v>
      </c>
      <c r="B261" s="34" t="s">
        <v>264</v>
      </c>
      <c r="C261" s="34" t="s">
        <v>265</v>
      </c>
      <c r="D261" s="34" t="s">
        <v>504</v>
      </c>
      <c r="E261" s="34" t="s">
        <v>189</v>
      </c>
    </row>
    <row r="262" spans="1:5">
      <c r="A262" s="34" t="s">
        <v>85</v>
      </c>
      <c r="B262" s="34" t="s">
        <v>212</v>
      </c>
      <c r="C262" s="34" t="s">
        <v>213</v>
      </c>
      <c r="D262" s="34" t="s">
        <v>505</v>
      </c>
      <c r="E262" s="34" t="s">
        <v>179</v>
      </c>
    </row>
    <row r="263" spans="1:5">
      <c r="A263" s="33" t="s">
        <v>47</v>
      </c>
      <c r="B263" s="34" t="s">
        <v>245</v>
      </c>
      <c r="C263" s="34" t="s">
        <v>246</v>
      </c>
      <c r="D263" s="34" t="s">
        <v>506</v>
      </c>
      <c r="E263" s="34" t="s">
        <v>189</v>
      </c>
    </row>
    <row r="264" spans="1:5">
      <c r="A264" s="34" t="s">
        <v>85</v>
      </c>
      <c r="B264" s="34" t="s">
        <v>216</v>
      </c>
      <c r="C264" s="34" t="s">
        <v>217</v>
      </c>
      <c r="D264" s="34" t="s">
        <v>507</v>
      </c>
      <c r="E264" s="34" t="s">
        <v>179</v>
      </c>
    </row>
    <row r="265" spans="1:5">
      <c r="A265" s="33" t="s">
        <v>47</v>
      </c>
      <c r="B265" s="34" t="s">
        <v>238</v>
      </c>
      <c r="C265" s="34" t="s">
        <v>239</v>
      </c>
      <c r="D265" s="34" t="s">
        <v>508</v>
      </c>
      <c r="E265" s="34" t="s">
        <v>211</v>
      </c>
    </row>
    <row r="266" spans="1:5">
      <c r="A266" s="34" t="s">
        <v>85</v>
      </c>
      <c r="B266" s="34" t="s">
        <v>255</v>
      </c>
      <c r="C266" s="34" t="s">
        <v>256</v>
      </c>
      <c r="D266" s="34" t="s">
        <v>509</v>
      </c>
      <c r="E266" s="34" t="s">
        <v>279</v>
      </c>
    </row>
    <row r="267" spans="1:5">
      <c r="A267" s="34" t="s">
        <v>85</v>
      </c>
      <c r="B267" s="34" t="s">
        <v>216</v>
      </c>
      <c r="C267" s="34" t="s">
        <v>217</v>
      </c>
      <c r="D267" s="34" t="s">
        <v>510</v>
      </c>
      <c r="E267" s="34" t="s">
        <v>327</v>
      </c>
    </row>
    <row r="268" spans="1:5">
      <c r="A268" s="34" t="s">
        <v>85</v>
      </c>
      <c r="B268" s="34" t="s">
        <v>180</v>
      </c>
      <c r="C268" s="34" t="s">
        <v>181</v>
      </c>
      <c r="D268" s="34" t="s">
        <v>511</v>
      </c>
      <c r="E268" s="34" t="s">
        <v>179</v>
      </c>
    </row>
    <row r="269" spans="1:5">
      <c r="A269" s="33" t="s">
        <v>47</v>
      </c>
      <c r="B269" s="34" t="s">
        <v>222</v>
      </c>
      <c r="C269" s="34" t="s">
        <v>223</v>
      </c>
      <c r="D269" s="34" t="s">
        <v>512</v>
      </c>
      <c r="E269" s="34" t="s">
        <v>194</v>
      </c>
    </row>
    <row r="270" spans="1:5">
      <c r="A270" s="34" t="s">
        <v>85</v>
      </c>
      <c r="B270" s="34" t="s">
        <v>302</v>
      </c>
      <c r="C270" s="34" t="s">
        <v>303</v>
      </c>
      <c r="D270" s="34" t="s">
        <v>513</v>
      </c>
      <c r="E270" s="34" t="s">
        <v>279</v>
      </c>
    </row>
    <row r="271" spans="1:5">
      <c r="A271" s="34" t="s">
        <v>85</v>
      </c>
      <c r="B271" s="34" t="s">
        <v>216</v>
      </c>
      <c r="C271" s="34" t="s">
        <v>217</v>
      </c>
      <c r="D271" s="34" t="s">
        <v>514</v>
      </c>
      <c r="E271" s="34" t="s">
        <v>179</v>
      </c>
    </row>
    <row r="272" spans="1:5">
      <c r="A272" s="34" t="s">
        <v>85</v>
      </c>
      <c r="B272" s="34" t="s">
        <v>319</v>
      </c>
      <c r="C272" s="34" t="s">
        <v>320</v>
      </c>
      <c r="D272" s="34" t="s">
        <v>515</v>
      </c>
      <c r="E272" s="34" t="s">
        <v>211</v>
      </c>
    </row>
    <row r="273" spans="1:5">
      <c r="A273" s="33" t="s">
        <v>47</v>
      </c>
      <c r="B273" s="34" t="s">
        <v>238</v>
      </c>
      <c r="C273" s="34" t="s">
        <v>239</v>
      </c>
      <c r="D273" s="34" t="s">
        <v>516</v>
      </c>
      <c r="E273" s="34" t="s">
        <v>211</v>
      </c>
    </row>
    <row r="274" spans="1:5">
      <c r="A274" s="34" t="s">
        <v>85</v>
      </c>
      <c r="B274" s="34" t="s">
        <v>176</v>
      </c>
      <c r="C274" s="34" t="s">
        <v>177</v>
      </c>
      <c r="D274" s="34" t="s">
        <v>517</v>
      </c>
      <c r="E274" s="34" t="s">
        <v>179</v>
      </c>
    </row>
    <row r="275" spans="1:5">
      <c r="A275" s="33" t="s">
        <v>47</v>
      </c>
      <c r="B275" s="34" t="s">
        <v>203</v>
      </c>
      <c r="C275" s="34" t="s">
        <v>204</v>
      </c>
      <c r="D275" s="34" t="s">
        <v>518</v>
      </c>
      <c r="E275" s="34" t="s">
        <v>211</v>
      </c>
    </row>
    <row r="276" spans="1:5">
      <c r="A276" s="33" t="s">
        <v>47</v>
      </c>
      <c r="B276" s="34" t="s">
        <v>292</v>
      </c>
      <c r="C276" s="34" t="s">
        <v>293</v>
      </c>
      <c r="D276" s="34" t="s">
        <v>519</v>
      </c>
      <c r="E276" s="34" t="s">
        <v>211</v>
      </c>
    </row>
    <row r="277" spans="1:5">
      <c r="A277" s="33" t="s">
        <v>47</v>
      </c>
      <c r="B277" s="34" t="s">
        <v>292</v>
      </c>
      <c r="C277" s="34" t="s">
        <v>293</v>
      </c>
      <c r="D277" s="34" t="s">
        <v>520</v>
      </c>
      <c r="E277" s="34" t="s">
        <v>211</v>
      </c>
    </row>
    <row r="278" spans="1:5">
      <c r="A278" s="34" t="s">
        <v>85</v>
      </c>
      <c r="B278" s="34" t="s">
        <v>255</v>
      </c>
      <c r="C278" s="34" t="s">
        <v>256</v>
      </c>
      <c r="D278" s="34" t="s">
        <v>521</v>
      </c>
      <c r="E278" s="34" t="s">
        <v>189</v>
      </c>
    </row>
  </sheetData>
  <autoFilter ref="A1:E278" xr:uid="{2F9F3E4E-1E79-478C-854E-8F8D258F441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2026-10-21T00:54:01Z</dcterms:created>
  <dcterms:modified xsi:type="dcterms:W3CDTF">2026-10-22T18:17:41Z</dcterms:modified>
  <cp:category/>
  <cp:contentStatus/>
</cp:coreProperties>
</file>